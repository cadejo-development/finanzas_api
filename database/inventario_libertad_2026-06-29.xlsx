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o Físi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5"/>
  <sheetViews>
    <sheetView workbookViewId="0"/>
  </sheetViews>
  <cols>
    <col min="1" max="1" width="12.83203125" customWidth="1"/>
    <col min="2" max="2" width="45.83203125" customWidth="1"/>
    <col min="3" max="3" width="25.83203125" customWidth="1"/>
    <col min="4" max="4" width="10.83203125" customWidth="1"/>
    <col min="5" max="5" width="13.83203125" customWidth="1"/>
    <col min="6" max="6" width="13.83203125" customWidth="1"/>
    <col min="7" max="7" width="13.83203125" customWidth="1"/>
    <col min="8" max="8" width="30.83203125" customWidth="1"/>
  </cols>
  <sheetData>
    <row r="1">
      <c r="A1" t="str">
        <v>Codigo</v>
      </c>
      <c r="B1" t="str">
        <v>Producto</v>
      </c>
      <c r="C1" t="str">
        <v>Categoria</v>
      </c>
      <c r="D1" t="str">
        <v>Unidad</v>
      </c>
      <c r="E1" t="str">
        <v>Saldo Brilo</v>
      </c>
      <c r="F1" t="str">
        <v>Conteo Fisico</v>
      </c>
      <c r="G1" t="str">
        <v>Diferencia</v>
      </c>
      <c r="H1" t="str">
        <v>Observaciones</v>
      </c>
    </row>
    <row r="2">
      <c r="A2" t="str">
        <v>AF0501031</v>
      </c>
      <c r="B2" t="str">
        <v>HERRAMIENTAS VARIAS (IMPORTACION)</v>
      </c>
      <c r="C2" t="str">
        <v>SIN CATEGORIA</v>
      </c>
      <c r="D2" t="str">
        <v>UNIDAD</v>
      </c>
      <c r="E2">
        <v>1</v>
      </c>
      <c r="F2" t="str">
        <v/>
      </c>
      <c r="G2">
        <f>F2-E2</f>
      </c>
      <c r="H2" t="str">
        <v/>
      </c>
    </row>
    <row r="3">
      <c r="A3" t="str">
        <v>AF0015</v>
      </c>
      <c r="B3" t="str">
        <v>IMPRESORES - RESTAURANTE</v>
      </c>
      <c r="C3" t="str">
        <v>SIN CATEGORIA</v>
      </c>
      <c r="E3">
        <v>1</v>
      </c>
      <c r="F3" t="str">
        <v/>
      </c>
      <c r="G3">
        <f>F3-E3</f>
      </c>
      <c r="H3" t="str">
        <v/>
      </c>
    </row>
    <row r="4">
      <c r="A4" t="str">
        <v>PRD2303035</v>
      </c>
      <c r="B4" t="str">
        <v>INSTALACION ESTACIONES DE SERVICIO PLAYA</v>
      </c>
      <c r="C4" t="str">
        <v>SIN CATEGORIA</v>
      </c>
      <c r="E4">
        <v>3</v>
      </c>
      <c r="F4" t="str">
        <v/>
      </c>
      <c r="G4">
        <f>F4-E4</f>
      </c>
      <c r="H4" t="str">
        <v/>
      </c>
    </row>
    <row r="5">
      <c r="A5" t="str">
        <v>AF00002</v>
      </c>
      <c r="B5" t="str">
        <v>MEJORAS A PROPIEDADES ARRENDADAS</v>
      </c>
      <c r="C5" t="str">
        <v>SIN CATEGORIA</v>
      </c>
      <c r="E5">
        <v>4</v>
      </c>
      <c r="F5" t="str">
        <v/>
      </c>
      <c r="G5">
        <f>F5-E5</f>
      </c>
      <c r="H5" t="str">
        <v/>
      </c>
    </row>
    <row r="6">
      <c r="A6" t="str">
        <v>PRD2303020</v>
      </c>
      <c r="B6" t="str">
        <v>MOB Y EQ SUCURSAL LA LIBERTAD</v>
      </c>
      <c r="C6" t="str">
        <v>SIN CATEGORIA</v>
      </c>
      <c r="E6">
        <v>61</v>
      </c>
      <c r="F6" t="str">
        <v/>
      </c>
      <c r="G6">
        <f>F6-E6</f>
      </c>
      <c r="H6" t="str">
        <v/>
      </c>
    </row>
    <row r="7">
      <c r="A7" t="str">
        <v>AF0201014</v>
      </c>
      <c r="B7" t="str">
        <v>PATENTES Y MARCAS</v>
      </c>
      <c r="C7" t="str">
        <v>SIN CATEGORIA</v>
      </c>
      <c r="E7">
        <v>1</v>
      </c>
      <c r="F7" t="str">
        <v/>
      </c>
      <c r="G7">
        <f>F7-E7</f>
      </c>
      <c r="H7" t="str">
        <v/>
      </c>
    </row>
    <row r="8">
      <c r="A8" t="str">
        <v>PRD2303036</v>
      </c>
      <c r="B8" t="str">
        <v>REMODELACION HABITACIONES PLAYA</v>
      </c>
      <c r="C8" t="str">
        <v>SIN CATEGORIA</v>
      </c>
      <c r="E8">
        <v>28</v>
      </c>
      <c r="F8" t="str">
        <v/>
      </c>
      <c r="G8">
        <f>F8-E8</f>
      </c>
      <c r="H8" t="str">
        <v/>
      </c>
    </row>
    <row r="9">
      <c r="A9" t="str">
        <v>PRD0234</v>
      </c>
      <c r="B9" t="str">
        <v>TERMOMETRO  DE BOLSILLO JHONSO</v>
      </c>
      <c r="C9" t="str">
        <v>SIN CATEGORIA</v>
      </c>
      <c r="D9" t="str">
        <v>UNIDAD</v>
      </c>
      <c r="E9">
        <v>3</v>
      </c>
      <c r="F9" t="str">
        <v/>
      </c>
      <c r="G9">
        <f>F9-E9</f>
      </c>
      <c r="H9" t="str">
        <v/>
      </c>
    </row>
    <row r="10">
      <c r="A10" t="str">
        <v>PT1002007</v>
      </c>
      <c r="B10" t="str">
        <v>AGUA DURA COCO - CB BOT. 330 ML</v>
      </c>
      <c r="C10" t="str">
        <v>Agua Dura</v>
      </c>
      <c r="D10" t="str">
        <v>UNIDAD</v>
      </c>
      <c r="E10">
        <v>43</v>
      </c>
      <c r="F10" t="str">
        <v/>
      </c>
      <c r="G10">
        <f>F10-E10</f>
      </c>
      <c r="H10" t="str">
        <v/>
      </c>
    </row>
    <row r="11">
      <c r="A11" t="str">
        <v>PT1002008</v>
      </c>
      <c r="B11" t="str">
        <v>AGUA DURA LIMON - CB BOT. 330 ML</v>
      </c>
      <c r="C11" t="str">
        <v>Agua Dura</v>
      </c>
      <c r="D11" t="str">
        <v>UNIDAD</v>
      </c>
      <c r="E11">
        <v>33</v>
      </c>
      <c r="F11" t="str">
        <v/>
      </c>
      <c r="G11">
        <f>F11-E11</f>
      </c>
      <c r="H11" t="str">
        <v/>
      </c>
    </row>
    <row r="12">
      <c r="A12" t="str">
        <v>PT1002009</v>
      </c>
      <c r="B12" t="str">
        <v>AGUA DURA MARACUYÁ - CB BOT. 330 ML</v>
      </c>
      <c r="C12" t="str">
        <v>Agua Dura</v>
      </c>
      <c r="D12" t="str">
        <v>UNIDAD</v>
      </c>
      <c r="E12">
        <v>1</v>
      </c>
      <c r="F12" t="str">
        <v/>
      </c>
      <c r="G12">
        <f>F12-E12</f>
      </c>
      <c r="H12" t="str">
        <v/>
      </c>
    </row>
    <row r="13">
      <c r="A13" t="str">
        <v>MR1201122</v>
      </c>
      <c r="B13" t="str">
        <v>AMARETTO DISARONNO</v>
      </c>
      <c r="C13" t="str">
        <v>Bebidas con Alcohol</v>
      </c>
      <c r="D13" t="str">
        <v>LITRO</v>
      </c>
      <c r="E13">
        <v>1.111281</v>
      </c>
      <c r="F13" t="str">
        <v/>
      </c>
      <c r="G13">
        <f>F13-E13</f>
      </c>
      <c r="H13" t="str">
        <v/>
      </c>
    </row>
    <row r="14">
      <c r="A14" t="str">
        <v>MR1403119</v>
      </c>
      <c r="B14" t="str">
        <v>APPEROL</v>
      </c>
      <c r="C14" t="str">
        <v>Bebidas con Alcohol</v>
      </c>
      <c r="D14" t="str">
        <v>LITRO</v>
      </c>
      <c r="E14">
        <v>1.29786</v>
      </c>
      <c r="F14" t="str">
        <v/>
      </c>
      <c r="G14">
        <f>F14-E14</f>
      </c>
      <c r="H14" t="str">
        <v/>
      </c>
    </row>
    <row r="15">
      <c r="A15" t="str">
        <v>MR1201112</v>
      </c>
      <c r="B15" t="str">
        <v>BAILEY'S</v>
      </c>
      <c r="C15" t="str">
        <v>Bebidas con Alcohol</v>
      </c>
      <c r="D15" t="str">
        <v>LITRO</v>
      </c>
      <c r="E15">
        <v>0.811281</v>
      </c>
      <c r="F15" t="str">
        <v/>
      </c>
      <c r="G15">
        <f>F15-E15</f>
      </c>
      <c r="H15" t="str">
        <v/>
      </c>
    </row>
    <row r="16">
      <c r="A16" t="str">
        <v>MR1104002</v>
      </c>
      <c r="B16" t="str">
        <v>FLAMINGO BLUE CURACAO</v>
      </c>
      <c r="C16" t="str">
        <v>Bebidas con Alcohol</v>
      </c>
      <c r="D16" t="str">
        <v>LITRO</v>
      </c>
      <c r="E16">
        <v>1.805049</v>
      </c>
      <c r="F16" t="str">
        <v/>
      </c>
      <c r="G16">
        <f>F16-E16</f>
      </c>
      <c r="H16" t="str">
        <v/>
      </c>
    </row>
    <row r="17">
      <c r="A17" t="str">
        <v>BR02260201</v>
      </c>
      <c r="B17" t="str">
        <v>GIN BATEO (MG MANUEL GIRO)</v>
      </c>
      <c r="C17" t="str">
        <v>Bebidas con Alcohol</v>
      </c>
      <c r="D17" t="str">
        <v>LITRO</v>
      </c>
      <c r="E17">
        <v>2.178946</v>
      </c>
      <c r="F17" t="str">
        <v/>
      </c>
      <c r="G17">
        <f>F17-E17</f>
      </c>
      <c r="H17" t="str">
        <v/>
      </c>
    </row>
    <row r="18">
      <c r="A18" t="str">
        <v>MR1201156</v>
      </c>
      <c r="B18" t="str">
        <v>GIN BEEFEATER</v>
      </c>
      <c r="C18" t="str">
        <v>Bebidas con Alcohol</v>
      </c>
      <c r="D18" t="str">
        <v>LITRO</v>
      </c>
      <c r="E18">
        <v>1.15</v>
      </c>
      <c r="F18" t="str">
        <v/>
      </c>
      <c r="G18">
        <f>F18-E18</f>
      </c>
      <c r="H18" t="str">
        <v/>
      </c>
    </row>
    <row r="19">
      <c r="A19" t="str">
        <v>MR1201001</v>
      </c>
      <c r="B19" t="str">
        <v>GIN BOMBAY</v>
      </c>
      <c r="C19" t="str">
        <v>Bebidas con Alcohol</v>
      </c>
      <c r="D19" t="str">
        <v>LITRO</v>
      </c>
      <c r="E19">
        <v>0.25</v>
      </c>
      <c r="F19" t="str">
        <v/>
      </c>
      <c r="G19">
        <f>F19-E19</f>
      </c>
      <c r="H19" t="str">
        <v/>
      </c>
    </row>
    <row r="20">
      <c r="A20" t="str">
        <v>MR1201241</v>
      </c>
      <c r="B20" t="str">
        <v>KAHLUA</v>
      </c>
      <c r="C20" t="str">
        <v>Bebidas con Alcohol</v>
      </c>
      <c r="D20" t="str">
        <v>LITRO</v>
      </c>
      <c r="E20">
        <v>0.461281</v>
      </c>
      <c r="F20" t="str">
        <v/>
      </c>
      <c r="G20">
        <f>F20-E20</f>
      </c>
      <c r="H20" t="str">
        <v/>
      </c>
    </row>
    <row r="21">
      <c r="A21" t="str">
        <v>MR1104007</v>
      </c>
      <c r="B21" t="str">
        <v>LICOR DE MENTA</v>
      </c>
      <c r="C21" t="str">
        <v>Bebidas con Alcohol</v>
      </c>
      <c r="D21" t="str">
        <v>LITRO</v>
      </c>
      <c r="E21">
        <v>0.622562</v>
      </c>
      <c r="F21" t="str">
        <v/>
      </c>
      <c r="G21">
        <f>F21-E21</f>
      </c>
      <c r="H21" t="str">
        <v/>
      </c>
    </row>
    <row r="22">
      <c r="A22" t="str">
        <v>MR1201002</v>
      </c>
      <c r="B22" t="str">
        <v>RON BLANCO BATEO (BACARDI)</v>
      </c>
      <c r="C22" t="str">
        <v>Bebidas con Alcohol</v>
      </c>
      <c r="D22" t="str">
        <v>LITRO</v>
      </c>
      <c r="E22">
        <v>1.206845</v>
      </c>
      <c r="F22" t="str">
        <v/>
      </c>
      <c r="G22">
        <f>F22-E22</f>
      </c>
      <c r="H22" t="str">
        <v/>
      </c>
    </row>
    <row r="23">
      <c r="A23" t="str">
        <v>MR1201003</v>
      </c>
      <c r="B23" t="str">
        <v>RON BOTRAN 12 AÑOS</v>
      </c>
      <c r="C23" t="str">
        <v>Bebidas con Alcohol</v>
      </c>
      <c r="D23" t="str">
        <v>LITRO</v>
      </c>
      <c r="E23">
        <v>1.502135</v>
      </c>
      <c r="F23" t="str">
        <v/>
      </c>
      <c r="G23">
        <f>F23-E23</f>
      </c>
      <c r="H23" t="str">
        <v/>
      </c>
    </row>
    <row r="24">
      <c r="A24" t="str">
        <v>MR1201018</v>
      </c>
      <c r="B24" t="str">
        <v>RON ZACAPA 23</v>
      </c>
      <c r="C24" t="str">
        <v>Bebidas con Alcohol</v>
      </c>
      <c r="D24" t="str">
        <v>LITRO</v>
      </c>
      <c r="E24">
        <v>1.140854</v>
      </c>
      <c r="F24" t="str">
        <v/>
      </c>
      <c r="G24">
        <f>F24-E24</f>
      </c>
      <c r="H24" t="str">
        <v/>
      </c>
    </row>
    <row r="25">
      <c r="A25" t="str">
        <v>MR1403116</v>
      </c>
      <c r="B25" t="str">
        <v>SANGRIA BLANCA</v>
      </c>
      <c r="C25" t="str">
        <v>Bebidas con Alcohol</v>
      </c>
      <c r="D25" t="str">
        <v>LITRO</v>
      </c>
      <c r="E25">
        <v>2.789945</v>
      </c>
      <c r="F25" t="str">
        <v/>
      </c>
      <c r="G25">
        <f>F25-E25</f>
      </c>
      <c r="H25" t="str">
        <v/>
      </c>
    </row>
    <row r="26">
      <c r="A26" t="str">
        <v>MR1403117</v>
      </c>
      <c r="B26" t="str">
        <v>SANGRIA ROSADA</v>
      </c>
      <c r="C26" t="str">
        <v>Bebidas con Alcohol</v>
      </c>
      <c r="D26" t="str">
        <v>LITRO</v>
      </c>
      <c r="E26">
        <v>3.169215</v>
      </c>
      <c r="F26" t="str">
        <v/>
      </c>
      <c r="G26">
        <f>F26-E26</f>
      </c>
      <c r="H26" t="str">
        <v/>
      </c>
    </row>
    <row r="27">
      <c r="A27" t="str">
        <v>MR1403122</v>
      </c>
      <c r="B27" t="str">
        <v>TEQUILA BATEO (JARANA)</v>
      </c>
      <c r="C27" t="str">
        <v>Bebidas con Alcohol</v>
      </c>
      <c r="D27" t="str">
        <v>LITRO</v>
      </c>
      <c r="E27">
        <v>4.20424</v>
      </c>
      <c r="F27" t="str">
        <v/>
      </c>
      <c r="G27">
        <f>F27-E27</f>
      </c>
      <c r="H27" t="str">
        <v/>
      </c>
    </row>
    <row r="28">
      <c r="A28" t="str">
        <v>MR1201119</v>
      </c>
      <c r="B28" t="str">
        <v>TEQUILA CUERVO 1800</v>
      </c>
      <c r="C28" t="str">
        <v>Bebidas con Alcohol</v>
      </c>
      <c r="D28" t="str">
        <v>LITRO</v>
      </c>
      <c r="E28">
        <v>0.865248</v>
      </c>
      <c r="F28" t="str">
        <v/>
      </c>
      <c r="G28">
        <f>F28-E28</f>
      </c>
      <c r="H28" t="str">
        <v/>
      </c>
    </row>
    <row r="29">
      <c r="A29" t="str">
        <v>MR1201118</v>
      </c>
      <c r="B29" t="str">
        <v>TEQUILA CUERVO 1800 CRISTALINO</v>
      </c>
      <c r="C29" t="str">
        <v>Bebidas con Alcohol</v>
      </c>
      <c r="D29" t="str">
        <v>LITRO</v>
      </c>
      <c r="E29">
        <v>0.294339</v>
      </c>
      <c r="F29" t="str">
        <v/>
      </c>
      <c r="G29">
        <f>F29-E29</f>
      </c>
      <c r="H29" t="str">
        <v/>
      </c>
    </row>
    <row r="30">
      <c r="A30" t="str">
        <v>MR1201011</v>
      </c>
      <c r="B30" t="str">
        <v>TEQUILA HERRADURA REPOSADO</v>
      </c>
      <c r="C30" t="str">
        <v>Bebidas con Alcohol</v>
      </c>
      <c r="D30" t="str">
        <v>LITRO</v>
      </c>
      <c r="E30">
        <v>0.256405</v>
      </c>
      <c r="F30" t="str">
        <v/>
      </c>
      <c r="G30">
        <f>F30-E30</f>
      </c>
      <c r="H30" t="str">
        <v/>
      </c>
    </row>
    <row r="31">
      <c r="A31" t="str">
        <v>MR1403120</v>
      </c>
      <c r="B31" t="str">
        <v>VINO ESPUMOSO SAN LUIS BRUTT</v>
      </c>
      <c r="C31" t="str">
        <v>Bebidas con Alcohol</v>
      </c>
      <c r="D31" t="str">
        <v>LITRO</v>
      </c>
      <c r="E31">
        <v>0.533232</v>
      </c>
      <c r="F31" t="str">
        <v/>
      </c>
      <c r="G31">
        <f>F31-E31</f>
      </c>
      <c r="H31" t="str">
        <v/>
      </c>
    </row>
    <row r="32">
      <c r="A32" t="str">
        <v>MR1201228</v>
      </c>
      <c r="B32" t="str">
        <v>VINO FRONTERA CYT BLANCO</v>
      </c>
      <c r="C32" t="str">
        <v>Bebidas con Alcohol</v>
      </c>
      <c r="D32" t="str">
        <v>LITRO</v>
      </c>
      <c r="E32">
        <v>4.620744</v>
      </c>
      <c r="F32" t="str">
        <v/>
      </c>
      <c r="G32">
        <f>F32-E32</f>
      </c>
      <c r="H32" t="str">
        <v/>
      </c>
    </row>
    <row r="33">
      <c r="A33" t="str">
        <v>MR1201226</v>
      </c>
      <c r="B33" t="str">
        <v>VINO FRONTERA CYT CABERNET SAUVIGNON</v>
      </c>
      <c r="C33" t="str">
        <v>Bebidas con Alcohol</v>
      </c>
      <c r="D33" t="str">
        <v>LITRO</v>
      </c>
      <c r="E33">
        <v>2.957934</v>
      </c>
      <c r="F33" t="str">
        <v/>
      </c>
      <c r="G33">
        <f>F33-E33</f>
      </c>
      <c r="H33" t="str">
        <v/>
      </c>
    </row>
    <row r="34">
      <c r="A34" t="str">
        <v>MR1201227</v>
      </c>
      <c r="B34" t="str">
        <v>VINO FRONTERA CYT ROSADO</v>
      </c>
      <c r="C34" t="str">
        <v>Bebidas con Alcohol</v>
      </c>
      <c r="D34" t="str">
        <v>LITRO</v>
      </c>
      <c r="E34">
        <v>2.65062</v>
      </c>
      <c r="F34" t="str">
        <v/>
      </c>
      <c r="G34">
        <f>F34-E34</f>
      </c>
      <c r="H34" t="str">
        <v/>
      </c>
    </row>
    <row r="35">
      <c r="A35" t="str">
        <v>MR1201080</v>
      </c>
      <c r="B35" t="str">
        <v>VODKA BATEO (SMIRNOFF RED)</v>
      </c>
      <c r="C35" t="str">
        <v>Bebidas con Alcohol</v>
      </c>
      <c r="D35" t="str">
        <v>LITRO</v>
      </c>
      <c r="E35">
        <v>1.342689</v>
      </c>
      <c r="F35" t="str">
        <v/>
      </c>
      <c r="G35">
        <f>F35-E35</f>
      </c>
      <c r="H35" t="str">
        <v/>
      </c>
    </row>
    <row r="36">
      <c r="A36" t="str">
        <v>MR1201005</v>
      </c>
      <c r="B36" t="str">
        <v>VODKA FINLANDIA</v>
      </c>
      <c r="C36" t="str">
        <v>Bebidas con Alcohol</v>
      </c>
      <c r="D36" t="str">
        <v>LITRO</v>
      </c>
      <c r="E36">
        <v>2.070427</v>
      </c>
      <c r="F36" t="str">
        <v/>
      </c>
      <c r="G36">
        <f>F36-E36</f>
      </c>
      <c r="H36" t="str">
        <v/>
      </c>
    </row>
    <row r="37">
      <c r="A37" t="str">
        <v>MR1201008</v>
      </c>
      <c r="B37" t="str">
        <v>VODKA GREY GOOSE</v>
      </c>
      <c r="C37" t="str">
        <v>Bebidas con Alcohol</v>
      </c>
      <c r="D37" t="str">
        <v>LITRO</v>
      </c>
      <c r="E37">
        <v>0.197259</v>
      </c>
      <c r="F37" t="str">
        <v/>
      </c>
      <c r="G37">
        <f>F37-E37</f>
      </c>
      <c r="H37" t="str">
        <v/>
      </c>
    </row>
    <row r="38">
      <c r="A38" t="str">
        <v>MR1201116</v>
      </c>
      <c r="B38" t="str">
        <v>VODKA TITO´S</v>
      </c>
      <c r="C38" t="str">
        <v>Bebidas con Alcohol</v>
      </c>
      <c r="D38" t="str">
        <v>LITRO</v>
      </c>
      <c r="E38">
        <v>0.997259</v>
      </c>
      <c r="F38" t="str">
        <v/>
      </c>
      <c r="G38">
        <f>F38-E38</f>
      </c>
      <c r="H38" t="str">
        <v/>
      </c>
    </row>
    <row r="39">
      <c r="A39" t="str">
        <v>MR1201114</v>
      </c>
      <c r="B39" t="str">
        <v>WHISKEY BUCHANANS 12</v>
      </c>
      <c r="C39" t="str">
        <v>Bebidas con Alcohol</v>
      </c>
      <c r="D39" t="str">
        <v>LITRO</v>
      </c>
      <c r="E39">
        <v>1.911281</v>
      </c>
      <c r="F39" t="str">
        <v/>
      </c>
      <c r="G39">
        <f>F39-E39</f>
      </c>
      <c r="H39" t="str">
        <v/>
      </c>
    </row>
    <row r="40">
      <c r="A40" t="str">
        <v>MR1201012</v>
      </c>
      <c r="B40" t="str">
        <v>WHISKEY JACK DANIELS</v>
      </c>
      <c r="C40" t="str">
        <v>Bebidas con Alcohol</v>
      </c>
      <c r="D40" t="str">
        <v>LITRO</v>
      </c>
      <c r="E40">
        <v>1.720427</v>
      </c>
      <c r="F40" t="str">
        <v/>
      </c>
      <c r="G40">
        <f>F40-E40</f>
      </c>
      <c r="H40" t="str">
        <v/>
      </c>
    </row>
    <row r="41">
      <c r="A41" t="str">
        <v>MR1201014</v>
      </c>
      <c r="B41" t="str">
        <v>WHISKEY JOHNNIE WALKER BLACK</v>
      </c>
      <c r="C41" t="str">
        <v>Bebidas con Alcohol</v>
      </c>
      <c r="D41" t="str">
        <v>LITRO</v>
      </c>
      <c r="E41">
        <v>1.042989</v>
      </c>
      <c r="F41" t="str">
        <v/>
      </c>
      <c r="G41">
        <f>F41-E41</f>
      </c>
      <c r="H41" t="str">
        <v/>
      </c>
    </row>
    <row r="42">
      <c r="A42" t="str">
        <v>MR1201115</v>
      </c>
      <c r="B42" t="str">
        <v>WHISKEY OLD PARR 12</v>
      </c>
      <c r="C42" t="str">
        <v>Bebidas con Alcohol</v>
      </c>
      <c r="D42" t="str">
        <v>LITRO</v>
      </c>
      <c r="E42">
        <v>1.970427</v>
      </c>
      <c r="F42" t="str">
        <v/>
      </c>
      <c r="G42">
        <f>F42-E42</f>
      </c>
      <c r="H42" t="str">
        <v/>
      </c>
    </row>
    <row r="43">
      <c r="A43" t="str">
        <v>MR1101010</v>
      </c>
      <c r="B43" t="str">
        <v>AGUA TONICA</v>
      </c>
      <c r="C43" t="str">
        <v>Bebidas sin Alcohol</v>
      </c>
      <c r="D43" t="str">
        <v>UNIDAD</v>
      </c>
      <c r="E43">
        <v>11</v>
      </c>
      <c r="F43" t="str">
        <v/>
      </c>
      <c r="G43">
        <f>F43-E43</f>
      </c>
      <c r="H43" t="str">
        <v/>
      </c>
    </row>
    <row r="44">
      <c r="A44" t="str">
        <v>MR1101009</v>
      </c>
      <c r="B44" t="str">
        <v>BOTELLA CON AGUA 500 ml</v>
      </c>
      <c r="C44" t="str">
        <v>Bebidas sin Alcohol</v>
      </c>
      <c r="D44" t="str">
        <v>UNIDAD</v>
      </c>
      <c r="E44">
        <v>31</v>
      </c>
      <c r="F44" t="str">
        <v/>
      </c>
      <c r="G44">
        <f>F44-E44</f>
      </c>
      <c r="H44" t="str">
        <v/>
      </c>
    </row>
    <row r="45">
      <c r="A45" t="str">
        <v>MR0502013</v>
      </c>
      <c r="B45" t="str">
        <v>COCO</v>
      </c>
      <c r="C45" t="str">
        <v>Bebidas sin Alcohol</v>
      </c>
      <c r="D45" t="str">
        <v>UNIDAD</v>
      </c>
      <c r="E45">
        <v>14</v>
      </c>
      <c r="F45" t="str">
        <v/>
      </c>
      <c r="G45">
        <f>F45-E45</f>
      </c>
      <c r="H45" t="str">
        <v/>
      </c>
    </row>
    <row r="46">
      <c r="A46" t="str">
        <v>MR1102009</v>
      </c>
      <c r="B46" t="str">
        <v>JUGO DE LIMON GAL</v>
      </c>
      <c r="C46" t="str">
        <v>Bebidas sin Alcohol</v>
      </c>
      <c r="D46" t="str">
        <v>LITRO</v>
      </c>
      <c r="E46">
        <v>13.434572</v>
      </c>
      <c r="F46" t="str">
        <v/>
      </c>
      <c r="G46">
        <f>F46-E46</f>
      </c>
      <c r="H46" t="str">
        <v/>
      </c>
    </row>
    <row r="47">
      <c r="A47" t="str">
        <v>MR1102006</v>
      </c>
      <c r="B47" t="str">
        <v>JUGO DE TOMATE JUMEX 1 LITRO</v>
      </c>
      <c r="C47" t="str">
        <v>Bebidas sin Alcohol</v>
      </c>
      <c r="D47" t="str">
        <v>LITRO</v>
      </c>
      <c r="E47">
        <v>4.560271</v>
      </c>
      <c r="F47" t="str">
        <v/>
      </c>
      <c r="G47">
        <f>F47-E47</f>
      </c>
      <c r="H47" t="str">
        <v/>
      </c>
    </row>
    <row r="48">
      <c r="A48" t="str">
        <v>MR1104001</v>
      </c>
      <c r="B48" t="str">
        <v>MADRILEÑA GRANADINA</v>
      </c>
      <c r="C48" t="str">
        <v>Bebidas sin Alcohol</v>
      </c>
      <c r="D48" t="str">
        <v>LITRO</v>
      </c>
      <c r="E48">
        <v>4.039688</v>
      </c>
      <c r="F48" t="str">
        <v/>
      </c>
      <c r="G48">
        <f>F48-E48</f>
      </c>
      <c r="H48" t="str">
        <v/>
      </c>
    </row>
    <row r="49">
      <c r="A49" t="str">
        <v>MR1103004</v>
      </c>
      <c r="B49" t="str">
        <v>PULPA DE ARRAYAN MEDIO GALON</v>
      </c>
      <c r="C49" t="str">
        <v>Bebidas sin Alcohol</v>
      </c>
      <c r="D49" t="str">
        <v>LITRO</v>
      </c>
      <c r="E49">
        <v>2.3144</v>
      </c>
      <c r="F49" t="str">
        <v/>
      </c>
      <c r="G49">
        <f>F49-E49</f>
      </c>
      <c r="H49" t="str">
        <v/>
      </c>
    </row>
    <row r="50">
      <c r="A50" t="str">
        <v>MR1103001</v>
      </c>
      <c r="B50" t="str">
        <v>PULPA DE COCO MEDIO GALON</v>
      </c>
      <c r="C50" t="str">
        <v>Bebidas sin Alcohol</v>
      </c>
      <c r="D50" t="str">
        <v>LITRO</v>
      </c>
      <c r="E50">
        <v>2.74126</v>
      </c>
      <c r="F50" t="str">
        <v/>
      </c>
      <c r="G50">
        <f>F50-E50</f>
      </c>
      <c r="H50" t="str">
        <v/>
      </c>
    </row>
    <row r="51">
      <c r="A51" t="str">
        <v>MR1103009</v>
      </c>
      <c r="B51" t="str">
        <v>PULPA DE SANDIA MEDIO GALON</v>
      </c>
      <c r="C51" t="str">
        <v>Bebidas sin Alcohol</v>
      </c>
      <c r="D51" t="str">
        <v>LITRO</v>
      </c>
      <c r="E51">
        <v>1.981425</v>
      </c>
      <c r="F51" t="str">
        <v/>
      </c>
      <c r="G51">
        <f>F51-E51</f>
      </c>
      <c r="H51" t="str">
        <v/>
      </c>
    </row>
    <row r="52">
      <c r="A52" t="str">
        <v>MR1103002</v>
      </c>
      <c r="B52" t="str">
        <v>PULPA FRESA MEDIO GALON</v>
      </c>
      <c r="C52" t="str">
        <v>Bebidas sin Alcohol</v>
      </c>
      <c r="D52" t="str">
        <v>LITRO</v>
      </c>
      <c r="E52">
        <v>7.786324</v>
      </c>
      <c r="F52" t="str">
        <v/>
      </c>
      <c r="G52">
        <f>F52-E52</f>
      </c>
      <c r="H52" t="str">
        <v/>
      </c>
    </row>
    <row r="53">
      <c r="A53" t="str">
        <v>MR1103008</v>
      </c>
      <c r="B53" t="str">
        <v>PULPA MANGO MEDIO GALON</v>
      </c>
      <c r="C53" t="str">
        <v>Bebidas sin Alcohol</v>
      </c>
      <c r="D53" t="str">
        <v>LITRO</v>
      </c>
      <c r="E53">
        <v>0.991188</v>
      </c>
      <c r="F53" t="str">
        <v/>
      </c>
      <c r="G53">
        <f>F53-E53</f>
      </c>
      <c r="H53" t="str">
        <v/>
      </c>
    </row>
    <row r="54">
      <c r="A54" t="str">
        <v>MR1103006</v>
      </c>
      <c r="B54" t="str">
        <v>PULPA MARACUYA MEDIO GALON</v>
      </c>
      <c r="C54" t="str">
        <v>Bebidas sin Alcohol</v>
      </c>
      <c r="D54" t="str">
        <v>LITRO</v>
      </c>
      <c r="E54">
        <v>8.558128</v>
      </c>
      <c r="F54" t="str">
        <v/>
      </c>
      <c r="G54">
        <f>F54-E54</f>
      </c>
      <c r="H54" t="str">
        <v/>
      </c>
    </row>
    <row r="55">
      <c r="A55" t="str">
        <v>MR1103005</v>
      </c>
      <c r="B55" t="str">
        <v>PULPA PIÑA COLADA MEDIO GALON</v>
      </c>
      <c r="C55" t="str">
        <v>Bebidas sin Alcohol</v>
      </c>
      <c r="D55" t="str">
        <v>LITRO</v>
      </c>
      <c r="E55">
        <v>9.151509</v>
      </c>
      <c r="F55" t="str">
        <v/>
      </c>
      <c r="G55">
        <f>F55-E55</f>
      </c>
      <c r="H55" t="str">
        <v/>
      </c>
    </row>
    <row r="56">
      <c r="A56" t="str">
        <v>MR1101013</v>
      </c>
      <c r="B56" t="str">
        <v>SODA PEPSI BLACK / LIGHT</v>
      </c>
      <c r="C56" t="str">
        <v>Bebidas sin Alcohol</v>
      </c>
      <c r="D56" t="str">
        <v>UNIDAD</v>
      </c>
      <c r="E56">
        <v>109</v>
      </c>
      <c r="F56" t="str">
        <v/>
      </c>
      <c r="G56">
        <f>F56-E56</f>
      </c>
      <c r="H56" t="str">
        <v/>
      </c>
    </row>
    <row r="57">
      <c r="A57" t="str">
        <v>MR1101012</v>
      </c>
      <c r="B57" t="str">
        <v>SODA PEPSI LATA</v>
      </c>
      <c r="C57" t="str">
        <v>Bebidas sin Alcohol</v>
      </c>
      <c r="D57" t="str">
        <v>UNIDAD</v>
      </c>
      <c r="E57">
        <v>45</v>
      </c>
      <c r="F57" t="str">
        <v/>
      </c>
      <c r="G57">
        <f>F57-E57</f>
      </c>
      <c r="H57" t="str">
        <v/>
      </c>
    </row>
    <row r="58">
      <c r="A58" t="str">
        <v>MR1101017</v>
      </c>
      <c r="B58" t="str">
        <v>SODA UVA LATA</v>
      </c>
      <c r="C58" t="str">
        <v>Bebidas sin Alcohol</v>
      </c>
      <c r="D58" t="str">
        <v>UNIDAD</v>
      </c>
      <c r="E58">
        <v>69</v>
      </c>
      <c r="F58" t="str">
        <v/>
      </c>
      <c r="G58">
        <f>F58-E58</f>
      </c>
      <c r="H58" t="str">
        <v/>
      </c>
    </row>
    <row r="59">
      <c r="A59" t="str">
        <v>MR0305029</v>
      </c>
      <c r="B59" t="str">
        <v>TE DE MANZANILLA</v>
      </c>
      <c r="C59" t="str">
        <v>Bebidas sin Alcohol</v>
      </c>
      <c r="D59" t="str">
        <v>UNIDAD</v>
      </c>
      <c r="E59">
        <v>85</v>
      </c>
      <c r="F59" t="str">
        <v/>
      </c>
      <c r="G59">
        <f>F59-E59</f>
      </c>
      <c r="H59" t="str">
        <v/>
      </c>
    </row>
    <row r="60">
      <c r="A60" t="str">
        <v>MR0305004</v>
      </c>
      <c r="B60" t="str">
        <v>TE NEGRO</v>
      </c>
      <c r="C60" t="str">
        <v>Bebidas sin Alcohol</v>
      </c>
      <c r="D60" t="str">
        <v>UNIDAD</v>
      </c>
      <c r="E60">
        <v>17.7725</v>
      </c>
      <c r="F60" t="str">
        <v/>
      </c>
      <c r="G60">
        <f>F60-E60</f>
      </c>
      <c r="H60" t="str">
        <v/>
      </c>
    </row>
    <row r="61">
      <c r="A61" t="str">
        <v>PT0201004</v>
      </c>
      <c r="B61" t="str">
        <v>CERVEZA MERA BELGA BOT. 330 ML</v>
      </c>
      <c r="C61" t="str">
        <v>Cerveza Botella</v>
      </c>
      <c r="D61" t="str">
        <v>UNIDAD</v>
      </c>
      <c r="E61">
        <v>12</v>
      </c>
      <c r="F61" t="str">
        <v/>
      </c>
      <c r="G61">
        <f>F61-E61</f>
      </c>
      <c r="H61" t="str">
        <v/>
      </c>
    </row>
    <row r="62">
      <c r="A62" t="str">
        <v>PT0201050</v>
      </c>
      <c r="B62" t="str">
        <v>CERVEZA NACIONAL BOT. 330 ML</v>
      </c>
      <c r="C62" t="str">
        <v>Cerveza Botella</v>
      </c>
      <c r="D62" t="str">
        <v>UNIDAD</v>
      </c>
      <c r="E62">
        <v>82</v>
      </c>
      <c r="F62" t="str">
        <v/>
      </c>
      <c r="G62">
        <f>F62-E62</f>
      </c>
      <c r="H62" t="str">
        <v/>
      </c>
    </row>
    <row r="63">
      <c r="A63" t="str">
        <v>PT0201003</v>
      </c>
      <c r="B63" t="str">
        <v>CERVEZA NEGRA BOT. 330 ML</v>
      </c>
      <c r="C63" t="str">
        <v>Cerveza Botella</v>
      </c>
      <c r="D63" t="str">
        <v>UNIDAD</v>
      </c>
      <c r="E63">
        <v>64</v>
      </c>
      <c r="F63" t="str">
        <v/>
      </c>
      <c r="G63">
        <f>F63-E63</f>
      </c>
      <c r="H63" t="str">
        <v/>
      </c>
    </row>
    <row r="64">
      <c r="A64" t="str">
        <v>PT0201005</v>
      </c>
      <c r="B64" t="str">
        <v>CERVEZA POOH BOT. 330 ML</v>
      </c>
      <c r="C64" t="str">
        <v>Cerveza Botella</v>
      </c>
      <c r="D64" t="str">
        <v>UNIDAD</v>
      </c>
      <c r="E64">
        <v>106</v>
      </c>
      <c r="F64" t="str">
        <v/>
      </c>
      <c r="G64">
        <f>F64-E64</f>
      </c>
      <c r="H64" t="str">
        <v/>
      </c>
    </row>
    <row r="65">
      <c r="A65" t="str">
        <v>PT0201001</v>
      </c>
      <c r="B65" t="str">
        <v>CERVEZA ROJA BOT. 330 ML</v>
      </c>
      <c r="C65" t="str">
        <v>Cerveza Botella</v>
      </c>
      <c r="D65" t="str">
        <v>UNIDAD</v>
      </c>
      <c r="E65">
        <v>55</v>
      </c>
      <c r="F65" t="str">
        <v/>
      </c>
      <c r="G65">
        <f>F65-E65</f>
      </c>
      <c r="H65" t="str">
        <v/>
      </c>
    </row>
    <row r="66">
      <c r="A66" t="str">
        <v>PT0201040</v>
      </c>
      <c r="B66" t="str">
        <v>CERVEZA RUBIA BOT. 330 ML</v>
      </c>
      <c r="C66" t="str">
        <v>Cerveza Botella</v>
      </c>
      <c r="D66" t="str">
        <v>UNIDAD</v>
      </c>
      <c r="E66">
        <v>34</v>
      </c>
      <c r="F66" t="str">
        <v/>
      </c>
      <c r="G66">
        <f>F66-E66</f>
      </c>
      <c r="H66" t="str">
        <v/>
      </c>
    </row>
    <row r="67">
      <c r="A67" t="str">
        <v>PT0201030</v>
      </c>
      <c r="B67" t="str">
        <v>CERVEZA SKYHOPPER BOT. 330 ML</v>
      </c>
      <c r="C67" t="str">
        <v>Cerveza Botella</v>
      </c>
      <c r="D67" t="str">
        <v>UNIDAD</v>
      </c>
      <c r="E67">
        <v>68</v>
      </c>
      <c r="F67" t="str">
        <v/>
      </c>
      <c r="G67">
        <f>F67-E67</f>
      </c>
      <c r="H67" t="str">
        <v/>
      </c>
    </row>
    <row r="68">
      <c r="A68" t="str">
        <v>PT0201006</v>
      </c>
      <c r="B68" t="str">
        <v>CERVEZA SUEGRA BOT. 330 ML</v>
      </c>
      <c r="C68" t="str">
        <v>Cerveza Botella</v>
      </c>
      <c r="D68" t="str">
        <v>UNIDAD</v>
      </c>
      <c r="E68">
        <v>65</v>
      </c>
      <c r="F68" t="str">
        <v/>
      </c>
      <c r="G68">
        <f>F68-E68</f>
      </c>
      <c r="H68" t="str">
        <v/>
      </c>
    </row>
    <row r="69">
      <c r="A69" t="str">
        <v>PT0301004</v>
      </c>
      <c r="B69" t="str">
        <v>CERVEZA BELGA DRAFT</v>
      </c>
      <c r="C69" t="str">
        <v>Cerveza Draft</v>
      </c>
      <c r="D69" t="str">
        <v>ONZAS</v>
      </c>
      <c r="E69">
        <v>3675.23996</v>
      </c>
      <c r="F69" t="str">
        <v/>
      </c>
      <c r="G69">
        <f>F69-E69</f>
      </c>
      <c r="H69" t="str">
        <v/>
      </c>
    </row>
    <row r="70">
      <c r="A70" t="str">
        <v>PT0301023</v>
      </c>
      <c r="B70" t="str">
        <v>CERVEZA CON ALQUIMIA DRAFT</v>
      </c>
      <c r="C70" t="str">
        <v>Cerveza Draft</v>
      </c>
      <c r="D70" t="str">
        <v>ONZAS</v>
      </c>
      <c r="E70">
        <v>328.2448</v>
      </c>
      <c r="F70" t="str">
        <v/>
      </c>
      <c r="G70">
        <f>F70-E70</f>
      </c>
      <c r="H70" t="str">
        <v/>
      </c>
    </row>
    <row r="71">
      <c r="A71" t="str">
        <v>PT0301024</v>
      </c>
      <c r="B71" t="str">
        <v>CERVEZA KOLOSCHA DRAFT</v>
      </c>
      <c r="C71" t="str">
        <v>Cerveza Draft</v>
      </c>
      <c r="D71" t="str">
        <v>ONZAS</v>
      </c>
      <c r="E71">
        <v>235.17235</v>
      </c>
      <c r="F71" t="str">
        <v/>
      </c>
      <c r="G71">
        <f>F71-E71</f>
      </c>
      <c r="H71" t="str">
        <v/>
      </c>
    </row>
    <row r="72">
      <c r="A72" t="str">
        <v>PT0301050</v>
      </c>
      <c r="B72" t="str">
        <v>CERVEZA NACIONAL DRAFT</v>
      </c>
      <c r="C72" t="str">
        <v>Cerveza Draft</v>
      </c>
      <c r="D72" t="str">
        <v>ONZAS</v>
      </c>
      <c r="E72">
        <v>2030.11714</v>
      </c>
      <c r="F72" t="str">
        <v/>
      </c>
      <c r="G72">
        <f>F72-E72</f>
      </c>
      <c r="H72" t="str">
        <v/>
      </c>
    </row>
    <row r="73">
      <c r="A73" t="str">
        <v>PT0301003</v>
      </c>
      <c r="B73" t="str">
        <v>CERVEZA NEGRA  DRAFT</v>
      </c>
      <c r="C73" t="str">
        <v>Cerveza Draft</v>
      </c>
      <c r="D73" t="str">
        <v>ONZAS</v>
      </c>
      <c r="E73">
        <v>2707.44318</v>
      </c>
      <c r="F73" t="str">
        <v/>
      </c>
      <c r="G73">
        <f>F73-E73</f>
      </c>
      <c r="H73" t="str">
        <v/>
      </c>
    </row>
    <row r="74">
      <c r="A74" t="str">
        <v>PT0301005</v>
      </c>
      <c r="B74" t="str">
        <v>CERVEZA POOH DRAFT</v>
      </c>
      <c r="C74" t="str">
        <v>Cerveza Draft</v>
      </c>
      <c r="D74" t="str">
        <v>ONZAS</v>
      </c>
      <c r="E74">
        <v>3324.74494</v>
      </c>
      <c r="F74" t="str">
        <v/>
      </c>
      <c r="G74">
        <f>F74-E74</f>
      </c>
      <c r="H74" t="str">
        <v/>
      </c>
    </row>
    <row r="75">
      <c r="A75" t="str">
        <v>PT0301001</v>
      </c>
      <c r="B75" t="str">
        <v>CERVEZA ROJA DRAFT</v>
      </c>
      <c r="C75" t="str">
        <v>Cerveza Draft</v>
      </c>
      <c r="D75" t="str">
        <v>ONZAS</v>
      </c>
      <c r="E75">
        <v>5699.79824</v>
      </c>
      <c r="F75" t="str">
        <v/>
      </c>
      <c r="G75">
        <f>F75-E75</f>
      </c>
      <c r="H75" t="str">
        <v/>
      </c>
    </row>
    <row r="76">
      <c r="A76" t="str">
        <v>PT0301030</v>
      </c>
      <c r="B76" t="str">
        <v>CERVEZA SKYHOPPER DRAFT</v>
      </c>
      <c r="C76" t="str">
        <v>Cerveza Draft</v>
      </c>
      <c r="D76" t="str">
        <v>ONZAS</v>
      </c>
      <c r="E76">
        <v>2620.8154</v>
      </c>
      <c r="F76" t="str">
        <v/>
      </c>
      <c r="G76">
        <f>F76-E76</f>
      </c>
      <c r="H76" t="str">
        <v/>
      </c>
    </row>
    <row r="77">
      <c r="A77" t="str">
        <v>PT0301006</v>
      </c>
      <c r="B77" t="str">
        <v>CERVEZA SUEGRA DRAFT</v>
      </c>
      <c r="C77" t="str">
        <v>Cerveza Draft</v>
      </c>
      <c r="D77" t="str">
        <v>ONZAS</v>
      </c>
      <c r="E77">
        <v>2880.21426</v>
      </c>
      <c r="F77" t="str">
        <v/>
      </c>
      <c r="G77">
        <f>F77-E77</f>
      </c>
      <c r="H77" t="str">
        <v/>
      </c>
    </row>
    <row r="78">
      <c r="A78" t="str">
        <v>PT0301002</v>
      </c>
      <c r="B78" t="str">
        <v>CERVEZA WAPA DRAFT</v>
      </c>
      <c r="C78" t="str">
        <v>Cerveza Draft</v>
      </c>
      <c r="D78" t="str">
        <v>ONZAS</v>
      </c>
      <c r="E78">
        <v>3087.59142</v>
      </c>
      <c r="F78" t="str">
        <v/>
      </c>
      <c r="G78">
        <f>F78-E78</f>
      </c>
      <c r="H78" t="str">
        <v/>
      </c>
    </row>
    <row r="79">
      <c r="A79" t="str">
        <v>PT0301038</v>
      </c>
      <c r="B79" t="str">
        <v>CERVEZA XOC-ALE DRAFT</v>
      </c>
      <c r="C79" t="str">
        <v>Cerveza Draft</v>
      </c>
      <c r="D79" t="str">
        <v>ONZAS</v>
      </c>
      <c r="E79">
        <v>2312.49347</v>
      </c>
      <c r="F79" t="str">
        <v/>
      </c>
      <c r="G79">
        <f>F79-E79</f>
      </c>
      <c r="H79" t="str">
        <v/>
      </c>
    </row>
    <row r="80">
      <c r="A80" t="str">
        <v>MR13251111</v>
      </c>
      <c r="B80" t="str">
        <v>JARRA CERVEZA ARTESANAL</v>
      </c>
      <c r="C80" t="str">
        <v>Cristaleria Restaurantes</v>
      </c>
      <c r="D80" t="str">
        <v>UNIDAD</v>
      </c>
      <c r="E80">
        <v>31</v>
      </c>
      <c r="F80" t="str">
        <v/>
      </c>
      <c r="G80">
        <f>F80-E80</f>
      </c>
      <c r="H80" t="str">
        <v/>
      </c>
    </row>
    <row r="81">
      <c r="A81" t="str">
        <v>PM0204005</v>
      </c>
      <c r="B81" t="str">
        <v>VASO DESECHABLE CON TAPA 12 OZ</v>
      </c>
      <c r="C81" t="str">
        <v>Cristaleria Restaurantes</v>
      </c>
      <c r="D81" t="str">
        <v>UNIDAD</v>
      </c>
      <c r="E81">
        <v>600</v>
      </c>
      <c r="F81" t="str">
        <v/>
      </c>
      <c r="G81">
        <f>F81-E81</f>
      </c>
      <c r="H81" t="str">
        <v/>
      </c>
    </row>
    <row r="82">
      <c r="A82" t="str">
        <v>PM0201005</v>
      </c>
      <c r="B82" t="str">
        <v>VASO VIDRIO 16 ONZ</v>
      </c>
      <c r="C82" t="str">
        <v>Cristaleria Restaurantes</v>
      </c>
      <c r="D82" t="str">
        <v>UNIDAD</v>
      </c>
      <c r="E82">
        <v>17</v>
      </c>
      <c r="F82" t="str">
        <v/>
      </c>
      <c r="G82">
        <f>F82-E82</f>
      </c>
      <c r="H82" t="str">
        <v/>
      </c>
    </row>
    <row r="83">
      <c r="A83" t="str">
        <v>ME0301001</v>
      </c>
      <c r="B83" t="str">
        <v>ENVASE GROWLER 1 LT LIMPIO</v>
      </c>
      <c r="C83" t="str">
        <v>Envases</v>
      </c>
      <c r="D83" t="str">
        <v>UNIDAD</v>
      </c>
      <c r="E83">
        <v>1</v>
      </c>
      <c r="F83" t="str">
        <v/>
      </c>
      <c r="G83">
        <f>F83-E83</f>
      </c>
      <c r="H83" t="str">
        <v/>
      </c>
    </row>
    <row r="84">
      <c r="A84" t="str">
        <v>ME0301005</v>
      </c>
      <c r="B84" t="str">
        <v>ENVASE SUCIO 330ML OSCURO</v>
      </c>
      <c r="C84" t="str">
        <v>Envases</v>
      </c>
      <c r="D84" t="str">
        <v>UNIDAD</v>
      </c>
      <c r="E84">
        <v>567</v>
      </c>
      <c r="F84" t="str">
        <v/>
      </c>
      <c r="G84">
        <f>F84-E84</f>
      </c>
      <c r="H84" t="str">
        <v/>
      </c>
    </row>
    <row r="85">
      <c r="A85" t="str">
        <v>AF0601026</v>
      </c>
      <c r="B85" t="str">
        <v>CONGELADOR HORIZONTAL</v>
      </c>
      <c r="C85" t="str">
        <v xml:space="preserve">Equipo de Refrigeracion </v>
      </c>
      <c r="D85" t="str">
        <v>UNIDAD</v>
      </c>
      <c r="E85">
        <v>3</v>
      </c>
      <c r="F85" t="str">
        <v/>
      </c>
      <c r="G85">
        <f>F85-E85</f>
      </c>
      <c r="H85" t="str">
        <v/>
      </c>
    </row>
    <row r="86">
      <c r="A86" t="str">
        <v>AF0601005</v>
      </c>
      <c r="B86" t="str">
        <v>EQUIPO DE REFRIGERACION</v>
      </c>
      <c r="C86" t="str">
        <v xml:space="preserve">Equipo de Refrigeracion </v>
      </c>
      <c r="D86" t="str">
        <v>UNIDAD</v>
      </c>
      <c r="E86">
        <v>1</v>
      </c>
      <c r="F86" t="str">
        <v/>
      </c>
      <c r="G86">
        <f>F86-E86</f>
      </c>
      <c r="H86" t="str">
        <v/>
      </c>
    </row>
    <row r="87">
      <c r="A87" t="str">
        <v>AF0501025</v>
      </c>
      <c r="B87" t="str">
        <v>ARTICULOS  COCINA</v>
      </c>
      <c r="C87" t="str">
        <v>Herramienta y Equipo Pequeño</v>
      </c>
      <c r="E87">
        <v>1</v>
      </c>
      <c r="F87" t="str">
        <v/>
      </c>
      <c r="G87">
        <f>F87-E87</f>
      </c>
      <c r="H87" t="str">
        <v/>
      </c>
    </row>
    <row r="88">
      <c r="A88" t="str">
        <v>AF0700001</v>
      </c>
      <c r="B88" t="str">
        <v>INSTALACIONES</v>
      </c>
      <c r="C88" t="str">
        <v>Instalaciones</v>
      </c>
      <c r="E88">
        <v>2</v>
      </c>
      <c r="F88" t="str">
        <v/>
      </c>
      <c r="G88">
        <f>F88-E88</f>
      </c>
      <c r="H88" t="str">
        <v/>
      </c>
    </row>
    <row r="89">
      <c r="A89" t="str">
        <v>MR0301001</v>
      </c>
      <c r="B89" t="str">
        <v>ACEITE DE AJONJOLI</v>
      </c>
      <c r="C89" t="str">
        <v>Materia Prima Alimentos</v>
      </c>
      <c r="D89" t="str">
        <v>LITRO</v>
      </c>
      <c r="E89">
        <v>1.366644</v>
      </c>
      <c r="F89" t="str">
        <v/>
      </c>
      <c r="G89">
        <f>F89-E89</f>
      </c>
      <c r="H89" t="str">
        <v/>
      </c>
    </row>
    <row r="90">
      <c r="A90" t="str">
        <v>MR0301003</v>
      </c>
      <c r="B90" t="str">
        <v>ACEITE DE OLIVA</v>
      </c>
      <c r="C90" t="str">
        <v>Materia Prima Alimentos</v>
      </c>
      <c r="D90" t="str">
        <v>LITRO</v>
      </c>
      <c r="E90">
        <v>7.447767</v>
      </c>
      <c r="F90" t="str">
        <v/>
      </c>
      <c r="G90">
        <f>F90-E90</f>
      </c>
      <c r="H90" t="str">
        <v/>
      </c>
    </row>
    <row r="91">
      <c r="A91" t="str">
        <v>MR0522028</v>
      </c>
      <c r="B91" t="str">
        <v>ACEITE VEGETAL PARA COCINAR</v>
      </c>
      <c r="C91" t="str">
        <v>Materia Prima Alimentos</v>
      </c>
      <c r="D91" t="str">
        <v>LITRO</v>
      </c>
      <c r="E91">
        <v>486.2143</v>
      </c>
      <c r="F91" t="str">
        <v/>
      </c>
      <c r="G91">
        <f>F91-E91</f>
      </c>
      <c r="H91" t="str">
        <v/>
      </c>
    </row>
    <row r="92">
      <c r="A92" t="str">
        <v>MR0302001</v>
      </c>
      <c r="B92" t="str">
        <v>ACEITUNA NEGRA ENTERA</v>
      </c>
      <c r="C92" t="str">
        <v>Materia Prima Alimentos</v>
      </c>
      <c r="D92" t="str">
        <v>LIBRA</v>
      </c>
      <c r="E92">
        <v>8.065</v>
      </c>
      <c r="F92" t="str">
        <v/>
      </c>
      <c r="G92">
        <f>F92-E92</f>
      </c>
      <c r="H92" t="str">
        <v/>
      </c>
    </row>
    <row r="93">
      <c r="A93" t="str">
        <v>MR0302003</v>
      </c>
      <c r="B93" t="str">
        <v>AJO MOLIDO EN POLVO</v>
      </c>
      <c r="C93" t="str">
        <v>Materia Prima Alimentos</v>
      </c>
      <c r="D93" t="str">
        <v>LIBRA</v>
      </c>
      <c r="E93">
        <v>5.397136</v>
      </c>
      <c r="F93" t="str">
        <v/>
      </c>
      <c r="G93">
        <f>F93-E93</f>
      </c>
      <c r="H93" t="str">
        <v/>
      </c>
    </row>
    <row r="94">
      <c r="A94" t="str">
        <v>MR0302044</v>
      </c>
      <c r="B94" t="str">
        <v>AJONJOLI NEGRO</v>
      </c>
      <c r="C94" t="str">
        <v>Materia Prima Alimentos</v>
      </c>
      <c r="D94" t="str">
        <v>LIBRA</v>
      </c>
      <c r="E94">
        <v>0.5325</v>
      </c>
      <c r="F94" t="str">
        <v/>
      </c>
      <c r="G94">
        <f>F94-E94</f>
      </c>
      <c r="H94" t="str">
        <v/>
      </c>
    </row>
    <row r="95">
      <c r="A95" t="str">
        <v>MR0302005</v>
      </c>
      <c r="B95" t="str">
        <v>ALCAPARRAS</v>
      </c>
      <c r="C95" t="str">
        <v>Materia Prima Alimentos</v>
      </c>
      <c r="D95" t="str">
        <v>LIBRA</v>
      </c>
      <c r="E95">
        <v>10.303275</v>
      </c>
      <c r="F95" t="str">
        <v/>
      </c>
      <c r="G95">
        <f>F95-E95</f>
      </c>
      <c r="H95" t="str">
        <v/>
      </c>
    </row>
    <row r="96">
      <c r="A96" t="str">
        <v>MR01250825</v>
      </c>
      <c r="B96" t="str">
        <v>ARROZ BLANCO</v>
      </c>
      <c r="C96" t="str">
        <v>Materia Prima Alimentos</v>
      </c>
      <c r="D96" t="str">
        <v>LIBRA</v>
      </c>
      <c r="E96">
        <v>14.249328</v>
      </c>
      <c r="F96" t="str">
        <v/>
      </c>
      <c r="G96">
        <f>F96-E96</f>
      </c>
      <c r="H96" t="str">
        <v/>
      </c>
    </row>
    <row r="97">
      <c r="A97" t="str">
        <v>MR0303002</v>
      </c>
      <c r="B97" t="str">
        <v>AZUCAR BLANCA</v>
      </c>
      <c r="C97" t="str">
        <v>Materia Prima Alimentos</v>
      </c>
      <c r="D97" t="str">
        <v>LIBRA</v>
      </c>
      <c r="E97">
        <v>229.881017</v>
      </c>
      <c r="F97" t="str">
        <v/>
      </c>
      <c r="G97">
        <f>F97-E97</f>
      </c>
      <c r="H97" t="str">
        <v/>
      </c>
    </row>
    <row r="98">
      <c r="A98" t="str">
        <v>MR0305009</v>
      </c>
      <c r="B98" t="str">
        <v>CAFE MOLIDO CLIENTES</v>
      </c>
      <c r="C98" t="str">
        <v>Materia Prima Alimentos</v>
      </c>
      <c r="D98" t="str">
        <v>ONZAS</v>
      </c>
      <c r="E98">
        <v>135.5</v>
      </c>
      <c r="F98" t="str">
        <v/>
      </c>
      <c r="G98">
        <f>F98-E98</f>
      </c>
      <c r="H98" t="str">
        <v/>
      </c>
    </row>
    <row r="99">
      <c r="A99" t="str">
        <v>MR0101005</v>
      </c>
      <c r="B99" t="str">
        <v>CANELA EN POLVO</v>
      </c>
      <c r="C99" t="str">
        <v>Materia Prima Alimentos</v>
      </c>
      <c r="D99" t="str">
        <v>LIBRA</v>
      </c>
      <c r="E99">
        <v>3.35</v>
      </c>
      <c r="F99" t="str">
        <v/>
      </c>
      <c r="G99">
        <f>F99-E99</f>
      </c>
      <c r="H99" t="str">
        <v/>
      </c>
    </row>
    <row r="100">
      <c r="A100" t="str">
        <v>MR0302008</v>
      </c>
      <c r="B100" t="str">
        <v>CHERRY SIN TALLO</v>
      </c>
      <c r="C100" t="str">
        <v>Materia Prima Alimentos</v>
      </c>
      <c r="D100" t="str">
        <v>LIBRA</v>
      </c>
      <c r="E100">
        <v>8.698125</v>
      </c>
      <c r="F100" t="str">
        <v/>
      </c>
      <c r="G100">
        <f>F100-E100</f>
      </c>
      <c r="H100" t="str">
        <v/>
      </c>
    </row>
    <row r="101">
      <c r="A101" t="str">
        <v>MR0302009</v>
      </c>
      <c r="B101" t="str">
        <v>CHILE CHIPOTLE</v>
      </c>
      <c r="C101" t="str">
        <v>Materia Prima Alimentos</v>
      </c>
      <c r="D101" t="str">
        <v>LIBRA</v>
      </c>
      <c r="E101">
        <v>2.5</v>
      </c>
      <c r="F101" t="str">
        <v/>
      </c>
      <c r="G101">
        <f>F101-E101</f>
      </c>
      <c r="H101" t="str">
        <v/>
      </c>
    </row>
    <row r="102">
      <c r="A102" t="str">
        <v>MR0501059</v>
      </c>
      <c r="B102" t="str">
        <v>CHILE EN ESCAMAS</v>
      </c>
      <c r="C102" t="str">
        <v>Materia Prima Alimentos</v>
      </c>
      <c r="D102" t="str">
        <v>LIBRA</v>
      </c>
      <c r="E102">
        <v>1.26</v>
      </c>
      <c r="F102" t="str">
        <v/>
      </c>
      <c r="G102">
        <f>F102-E102</f>
      </c>
      <c r="H102" t="str">
        <v/>
      </c>
    </row>
    <row r="103">
      <c r="A103" t="str">
        <v>MR0304008</v>
      </c>
      <c r="B103" t="str">
        <v>CONSOME DE CAMARON</v>
      </c>
      <c r="C103" t="str">
        <v>Materia Prima Alimentos</v>
      </c>
      <c r="D103" t="str">
        <v>LIBRA</v>
      </c>
      <c r="E103">
        <v>15.476594</v>
      </c>
      <c r="F103" t="str">
        <v/>
      </c>
      <c r="G103">
        <f>F103-E103</f>
      </c>
      <c r="H103" t="str">
        <v/>
      </c>
    </row>
    <row r="104">
      <c r="A104" t="str">
        <v>MR01250829</v>
      </c>
      <c r="B104" t="str">
        <v>CREMA DE COCO</v>
      </c>
      <c r="C104" t="str">
        <v>Materia Prima Alimentos</v>
      </c>
      <c r="D104" t="str">
        <v>LIBRA</v>
      </c>
      <c r="E104">
        <v>1.444299</v>
      </c>
      <c r="F104" t="str">
        <v/>
      </c>
      <c r="G104">
        <f>F104-E104</f>
      </c>
      <c r="H104" t="str">
        <v/>
      </c>
    </row>
    <row r="105">
      <c r="A105" t="str">
        <v>MR0305015</v>
      </c>
      <c r="B105" t="str">
        <v>CREMA DE MARISCOS EN SOBRES</v>
      </c>
      <c r="C105" t="str">
        <v>Materia Prima Alimentos</v>
      </c>
      <c r="D105" t="str">
        <v>UNIDAD</v>
      </c>
      <c r="E105">
        <v>31.073119</v>
      </c>
      <c r="F105" t="str">
        <v/>
      </c>
      <c r="G105">
        <f>F105-E105</f>
      </c>
      <c r="H105" t="str">
        <v/>
      </c>
    </row>
    <row r="106">
      <c r="A106" t="str">
        <v>MR0322009</v>
      </c>
      <c r="B106" t="str">
        <v>CRUTONES</v>
      </c>
      <c r="C106" t="str">
        <v>Materia Prima Alimentos</v>
      </c>
      <c r="D106" t="str">
        <v>LIBRA</v>
      </c>
      <c r="E106">
        <v>2.2125</v>
      </c>
      <c r="F106" t="str">
        <v/>
      </c>
      <c r="G106">
        <f>F106-E106</f>
      </c>
      <c r="H106" t="str">
        <v/>
      </c>
    </row>
    <row r="107">
      <c r="A107" t="str">
        <v>MR0302065</v>
      </c>
      <c r="B107" t="str">
        <v>FETUCCINI ROMA</v>
      </c>
      <c r="C107" t="str">
        <v>Materia Prima Alimentos</v>
      </c>
      <c r="D107" t="str">
        <v>LIBRA</v>
      </c>
      <c r="E107">
        <v>11.905</v>
      </c>
      <c r="F107" t="str">
        <v/>
      </c>
      <c r="G107">
        <f>F107-E107</f>
      </c>
      <c r="H107" t="str">
        <v/>
      </c>
    </row>
    <row r="108">
      <c r="A108" t="str">
        <v>MR0601001</v>
      </c>
      <c r="B108" t="str">
        <v>FIDEOS DE ARROZ</v>
      </c>
      <c r="C108" t="str">
        <v>Materia Prima Alimentos</v>
      </c>
      <c r="D108" t="str">
        <v>LIBRA</v>
      </c>
      <c r="E108">
        <v>2.89</v>
      </c>
      <c r="F108" t="str">
        <v/>
      </c>
      <c r="G108">
        <f>F108-E108</f>
      </c>
      <c r="H108" t="str">
        <v/>
      </c>
    </row>
    <row r="109">
      <c r="A109" t="str">
        <v>MR0901001</v>
      </c>
      <c r="B109" t="str">
        <v>FRIJOLES MOLIDOS</v>
      </c>
      <c r="C109" t="str">
        <v>Materia Prima Alimentos</v>
      </c>
      <c r="D109" t="str">
        <v>LIBRA</v>
      </c>
      <c r="E109">
        <v>36.039262</v>
      </c>
      <c r="F109" t="str">
        <v/>
      </c>
      <c r="G109">
        <f>F109-E109</f>
      </c>
      <c r="H109" t="str">
        <v/>
      </c>
    </row>
    <row r="110">
      <c r="A110" t="str">
        <v>MR0601004</v>
      </c>
      <c r="B110" t="str">
        <v>GALLETA OREO CHOCOLATE</v>
      </c>
      <c r="C110" t="str">
        <v>Materia Prima Alimentos</v>
      </c>
      <c r="D110" t="str">
        <v>UNIDAD</v>
      </c>
      <c r="E110">
        <v>72.5</v>
      </c>
      <c r="F110" t="str">
        <v/>
      </c>
      <c r="G110">
        <f>F110-E110</f>
      </c>
      <c r="H110" t="str">
        <v/>
      </c>
    </row>
    <row r="111">
      <c r="A111" t="str">
        <v>MR0302026</v>
      </c>
      <c r="B111" t="str">
        <v>GLUTAMATO MONOSODICO AJINOMOTO</v>
      </c>
      <c r="C111" t="str">
        <v>Materia Prima Alimentos</v>
      </c>
      <c r="D111" t="str">
        <v>LIBRA</v>
      </c>
      <c r="E111">
        <v>2</v>
      </c>
      <c r="F111" t="str">
        <v/>
      </c>
      <c r="G111">
        <f>F111-E111</f>
      </c>
      <c r="H111" t="str">
        <v/>
      </c>
    </row>
    <row r="112">
      <c r="A112" t="str">
        <v>MR0602002</v>
      </c>
      <c r="B112" t="str">
        <v>HARINA TRIGO SUAVE</v>
      </c>
      <c r="C112" t="str">
        <v>Materia Prima Alimentos</v>
      </c>
      <c r="D112" t="str">
        <v>LIBRA</v>
      </c>
      <c r="E112">
        <v>236.657576</v>
      </c>
      <c r="F112" t="str">
        <v/>
      </c>
      <c r="G112">
        <f>F112-E112</f>
      </c>
      <c r="H112" t="str">
        <v/>
      </c>
    </row>
    <row r="113">
      <c r="A113" t="str">
        <v>MR1001003</v>
      </c>
      <c r="B113" t="str">
        <v>HASHBROWN TATER TOTS</v>
      </c>
      <c r="C113" t="str">
        <v>Materia Prima Alimentos</v>
      </c>
      <c r="D113" t="str">
        <v>LIBRA</v>
      </c>
      <c r="E113">
        <v>26.335</v>
      </c>
      <c r="F113" t="str">
        <v/>
      </c>
      <c r="G113">
        <f>F113-E113</f>
      </c>
      <c r="H113" t="str">
        <v/>
      </c>
    </row>
    <row r="114">
      <c r="A114" t="str">
        <v>MR0302023</v>
      </c>
      <c r="B114" t="str">
        <v>MANTEQUILLA DE MANI</v>
      </c>
      <c r="C114" t="str">
        <v>Materia Prima Alimentos</v>
      </c>
      <c r="D114" t="str">
        <v>LIBRA</v>
      </c>
      <c r="E114">
        <v>1.743356</v>
      </c>
      <c r="F114" t="str">
        <v/>
      </c>
      <c r="G114">
        <f>F114-E114</f>
      </c>
      <c r="H114" t="str">
        <v/>
      </c>
    </row>
    <row r="115">
      <c r="A115" t="str">
        <v>MR0301005</v>
      </c>
      <c r="B115" t="str">
        <v>MAYONESA</v>
      </c>
      <c r="C115" t="str">
        <v>Materia Prima Alimentos</v>
      </c>
      <c r="D115" t="str">
        <v>LIBRA</v>
      </c>
      <c r="E115">
        <v>34.480605</v>
      </c>
      <c r="F115" t="str">
        <v/>
      </c>
      <c r="G115">
        <f>F115-E115</f>
      </c>
      <c r="H115" t="str">
        <v/>
      </c>
    </row>
    <row r="116">
      <c r="A116" t="str">
        <v>MR0602005</v>
      </c>
      <c r="B116" t="str">
        <v>MEZCLA PANCAKE</v>
      </c>
      <c r="C116" t="str">
        <v>Materia Prima Alimentos</v>
      </c>
      <c r="D116" t="str">
        <v>LIBRA</v>
      </c>
      <c r="E116">
        <v>24.9375</v>
      </c>
      <c r="F116" t="str">
        <v/>
      </c>
      <c r="G116">
        <f>F116-E116</f>
      </c>
      <c r="H116" t="str">
        <v/>
      </c>
    </row>
    <row r="117">
      <c r="A117" t="str">
        <v>MR0302024</v>
      </c>
      <c r="B117" t="str">
        <v>MIEL DE ABEJA</v>
      </c>
      <c r="C117" t="str">
        <v>Materia Prima Alimentos</v>
      </c>
      <c r="D117" t="str">
        <v>LITRO</v>
      </c>
      <c r="E117">
        <v>0.3226</v>
      </c>
      <c r="F117" t="str">
        <v/>
      </c>
      <c r="G117">
        <f>F117-E117</f>
      </c>
      <c r="H117" t="str">
        <v/>
      </c>
    </row>
    <row r="118">
      <c r="A118" t="str">
        <v>MR0301023</v>
      </c>
      <c r="B118" t="str">
        <v>MIEL DE MAPLE</v>
      </c>
      <c r="C118" t="str">
        <v>Materia Prima Alimentos</v>
      </c>
      <c r="D118" t="str">
        <v>LITRO</v>
      </c>
      <c r="E118">
        <v>3.211102</v>
      </c>
      <c r="F118" t="str">
        <v/>
      </c>
      <c r="G118">
        <f>F118-E118</f>
      </c>
      <c r="H118" t="str">
        <v/>
      </c>
    </row>
    <row r="119">
      <c r="A119" t="str">
        <v>MR0302025</v>
      </c>
      <c r="B119" t="str">
        <v>MIGA DE MANI</v>
      </c>
      <c r="C119" t="str">
        <v>Materia Prima Alimentos</v>
      </c>
      <c r="D119" t="str">
        <v>LIBRA</v>
      </c>
      <c r="E119">
        <v>4.86</v>
      </c>
      <c r="F119" t="str">
        <v/>
      </c>
      <c r="G119">
        <f>F119-E119</f>
      </c>
      <c r="H119" t="str">
        <v/>
      </c>
    </row>
    <row r="120">
      <c r="A120" t="str">
        <v>MR0301011</v>
      </c>
      <c r="B120" t="str">
        <v>MOSTAZA DIJON</v>
      </c>
      <c r="C120" t="str">
        <v>Materia Prima Alimentos</v>
      </c>
      <c r="D120" t="str">
        <v>LIBRA</v>
      </c>
      <c r="E120">
        <v>1.22456</v>
      </c>
      <c r="F120" t="str">
        <v/>
      </c>
      <c r="G120">
        <f>F120-E120</f>
      </c>
      <c r="H120" t="str">
        <v/>
      </c>
    </row>
    <row r="121">
      <c r="A121" t="str">
        <v>MR0301012</v>
      </c>
      <c r="B121" t="str">
        <v>MOSTAZA GOURMET</v>
      </c>
      <c r="C121" t="str">
        <v>Materia Prima Alimentos</v>
      </c>
      <c r="D121" t="str">
        <v>LIBRA</v>
      </c>
      <c r="E121">
        <v>5.476065</v>
      </c>
      <c r="F121" t="str">
        <v/>
      </c>
      <c r="G121">
        <f>F121-E121</f>
      </c>
      <c r="H121" t="str">
        <v/>
      </c>
    </row>
    <row r="122">
      <c r="A122" t="str">
        <v>MR0322011</v>
      </c>
      <c r="B122" t="str">
        <v>NUECES</v>
      </c>
      <c r="C122" t="str">
        <v>Materia Prima Alimentos</v>
      </c>
      <c r="D122" t="str">
        <v>LIBRA</v>
      </c>
      <c r="E122">
        <v>2.68375</v>
      </c>
      <c r="F122" t="str">
        <v/>
      </c>
      <c r="G122">
        <f>F122-E122</f>
      </c>
      <c r="H122" t="str">
        <v/>
      </c>
    </row>
    <row r="123">
      <c r="A123" t="str">
        <v>MR0522034</v>
      </c>
      <c r="B123" t="str">
        <v>PAN BOLLO</v>
      </c>
      <c r="C123" t="str">
        <v>Materia Prima Alimentos</v>
      </c>
      <c r="D123" t="str">
        <v>UNIDAD</v>
      </c>
      <c r="E123">
        <v>34</v>
      </c>
      <c r="F123" t="str">
        <v/>
      </c>
      <c r="G123">
        <f>F123-E123</f>
      </c>
      <c r="H123" t="str">
        <v/>
      </c>
    </row>
    <row r="124">
      <c r="A124" t="str">
        <v>MR0603001</v>
      </c>
      <c r="B124" t="str">
        <v>PAN HAMBURGUESA</v>
      </c>
      <c r="C124" t="str">
        <v>Materia Prima Alimentos</v>
      </c>
      <c r="D124" t="str">
        <v>UNIDAD</v>
      </c>
      <c r="E124">
        <v>111</v>
      </c>
      <c r="F124" t="str">
        <v/>
      </c>
      <c r="G124">
        <f>F124-E124</f>
      </c>
      <c r="H124" t="str">
        <v/>
      </c>
    </row>
    <row r="125">
      <c r="A125" t="str">
        <v>MR0603006</v>
      </c>
      <c r="B125" t="str">
        <v>PANKO BREAD CRUMBS</v>
      </c>
      <c r="C125" t="str">
        <v>Materia Prima Alimentos</v>
      </c>
      <c r="D125" t="str">
        <v>LIBRA</v>
      </c>
      <c r="E125">
        <v>70.89375</v>
      </c>
      <c r="F125" t="str">
        <v/>
      </c>
      <c r="G125">
        <f>F125-E125</f>
      </c>
      <c r="H125" t="str">
        <v/>
      </c>
    </row>
    <row r="126">
      <c r="A126" t="str">
        <v>MR0522021</v>
      </c>
      <c r="B126" t="str">
        <v>PASTA ANCHOAS</v>
      </c>
      <c r="C126" t="str">
        <v>Materia Prima Alimentos</v>
      </c>
      <c r="D126" t="str">
        <v>ONZAS</v>
      </c>
      <c r="E126">
        <v>6.225625</v>
      </c>
      <c r="F126" t="str">
        <v/>
      </c>
      <c r="G126">
        <f>F126-E126</f>
      </c>
      <c r="H126" t="str">
        <v/>
      </c>
    </row>
    <row r="127">
      <c r="A127" t="str">
        <v>MR0302016</v>
      </c>
      <c r="B127" t="str">
        <v>PEPINILLOS ENTEROS</v>
      </c>
      <c r="C127" t="str">
        <v>Materia Prima Alimentos</v>
      </c>
      <c r="D127" t="str">
        <v>LIBRA</v>
      </c>
      <c r="E127">
        <v>15.304982</v>
      </c>
      <c r="F127" t="str">
        <v/>
      </c>
      <c r="G127">
        <f>F127-E127</f>
      </c>
      <c r="H127" t="str">
        <v/>
      </c>
    </row>
    <row r="128">
      <c r="A128" t="str">
        <v>MR0302017</v>
      </c>
      <c r="B128" t="str">
        <v>PIMENTON ESPAÑOL O PAPRIKA</v>
      </c>
      <c r="C128" t="str">
        <v>Materia Prima Alimentos</v>
      </c>
      <c r="D128" t="str">
        <v>LIBRA</v>
      </c>
      <c r="E128">
        <v>0.562549</v>
      </c>
      <c r="F128" t="str">
        <v/>
      </c>
      <c r="G128">
        <f>F128-E128</f>
      </c>
      <c r="H128" t="str">
        <v/>
      </c>
    </row>
    <row r="129">
      <c r="A129" t="str">
        <v>MR0302021</v>
      </c>
      <c r="B129" t="str">
        <v>PIMIENTA NEGRA MOLIDA</v>
      </c>
      <c r="C129" t="str">
        <v>Materia Prima Alimentos</v>
      </c>
      <c r="D129" t="str">
        <v>LIBRA</v>
      </c>
      <c r="E129">
        <v>2.759945</v>
      </c>
      <c r="F129" t="str">
        <v/>
      </c>
      <c r="G129">
        <f>F129-E129</f>
      </c>
      <c r="H129" t="str">
        <v/>
      </c>
    </row>
    <row r="130">
      <c r="A130" t="str">
        <v>MR0901002</v>
      </c>
      <c r="B130" t="str">
        <v>PLATANO FRITO</v>
      </c>
      <c r="C130" t="str">
        <v>Materia Prima Alimentos</v>
      </c>
      <c r="D130" t="str">
        <v>LIBRA</v>
      </c>
      <c r="E130">
        <v>7.96875</v>
      </c>
      <c r="F130" t="str">
        <v/>
      </c>
      <c r="G130">
        <f>F130-E130</f>
      </c>
      <c r="H130" t="str">
        <v/>
      </c>
    </row>
    <row r="131">
      <c r="A131" t="str">
        <v>MR0304004</v>
      </c>
      <c r="B131" t="str">
        <v>SAL CON CEBOLLA</v>
      </c>
      <c r="C131" t="str">
        <v>Materia Prima Alimentos</v>
      </c>
      <c r="D131" t="str">
        <v>LIBRA</v>
      </c>
      <c r="E131">
        <v>3.948981</v>
      </c>
      <c r="F131" t="str">
        <v/>
      </c>
      <c r="G131">
        <f>F131-E131</f>
      </c>
      <c r="H131" t="str">
        <v/>
      </c>
    </row>
    <row r="132">
      <c r="A132" t="str">
        <v>MR0304005</v>
      </c>
      <c r="B132" t="str">
        <v>SAL CORRIENTE</v>
      </c>
      <c r="C132" t="str">
        <v>Materia Prima Alimentos</v>
      </c>
      <c r="D132" t="str">
        <v>LIBRA</v>
      </c>
      <c r="E132">
        <v>41.362034</v>
      </c>
      <c r="F132" t="str">
        <v/>
      </c>
      <c r="G132">
        <f>F132-E132</f>
      </c>
      <c r="H132" t="str">
        <v/>
      </c>
    </row>
    <row r="133">
      <c r="A133" t="str">
        <v>MR0304009</v>
      </c>
      <c r="B133" t="str">
        <v>SAL EN BOLSITAS</v>
      </c>
      <c r="C133" t="str">
        <v>Materia Prima Alimentos</v>
      </c>
      <c r="D133" t="str">
        <v>UNIDAD</v>
      </c>
      <c r="E133">
        <v>69</v>
      </c>
      <c r="F133" t="str">
        <v/>
      </c>
      <c r="G133">
        <f>F133-E133</f>
      </c>
      <c r="H133" t="str">
        <v/>
      </c>
    </row>
    <row r="134">
      <c r="A134" t="str">
        <v>MR0301015</v>
      </c>
      <c r="B134" t="str">
        <v>SALSA DE SOYA GOURMET</v>
      </c>
      <c r="C134" t="str">
        <v>Materia Prima Alimentos</v>
      </c>
      <c r="D134" t="str">
        <v>LITRO</v>
      </c>
      <c r="E134">
        <v>5.506309</v>
      </c>
      <c r="F134" t="str">
        <v/>
      </c>
      <c r="G134">
        <f>F134-E134</f>
      </c>
      <c r="H134" t="str">
        <v/>
      </c>
    </row>
    <row r="135">
      <c r="A135" t="str">
        <v>MR0301018</v>
      </c>
      <c r="B135" t="str">
        <v>SALSA INGLESA MC</v>
      </c>
      <c r="C135" t="str">
        <v>Materia Prima Alimentos</v>
      </c>
      <c r="D135" t="str">
        <v>LITRO</v>
      </c>
      <c r="E135">
        <v>7.143177</v>
      </c>
      <c r="F135" t="str">
        <v/>
      </c>
      <c r="G135">
        <f>F135-E135</f>
      </c>
      <c r="H135" t="str">
        <v/>
      </c>
    </row>
    <row r="136">
      <c r="A136" t="str">
        <v>MR0301019</v>
      </c>
      <c r="B136" t="str">
        <v>SALSA KETCHUP</v>
      </c>
      <c r="C136" t="str">
        <v>Materia Prima Alimentos</v>
      </c>
      <c r="D136" t="str">
        <v>LIBRA</v>
      </c>
      <c r="E136">
        <v>17.742299</v>
      </c>
      <c r="F136" t="str">
        <v/>
      </c>
      <c r="G136">
        <f>F136-E136</f>
      </c>
      <c r="H136" t="str">
        <v/>
      </c>
    </row>
    <row r="137">
      <c r="A137" t="str">
        <v>MR0801015</v>
      </c>
      <c r="B137" t="str">
        <v>TINTA DE CALAMAR</v>
      </c>
      <c r="C137" t="str">
        <v>Materia Prima Alimentos</v>
      </c>
      <c r="D137" t="str">
        <v>UNIDAD</v>
      </c>
      <c r="E137">
        <v>35</v>
      </c>
      <c r="F137" t="str">
        <v/>
      </c>
      <c r="G137">
        <f>F137-E137</f>
      </c>
      <c r="H137" t="str">
        <v/>
      </c>
    </row>
    <row r="138">
      <c r="A138" t="str">
        <v>MR0604002</v>
      </c>
      <c r="B138" t="str">
        <v>TORTILLA DE MAIZ PARA TACO</v>
      </c>
      <c r="C138" t="str">
        <v>Materia Prima Alimentos</v>
      </c>
      <c r="D138" t="str">
        <v>UNIDAD</v>
      </c>
      <c r="E138">
        <v>467.9</v>
      </c>
      <c r="F138" t="str">
        <v/>
      </c>
      <c r="G138">
        <f>F138-E138</f>
      </c>
      <c r="H138" t="str">
        <v/>
      </c>
    </row>
    <row r="139">
      <c r="A139" t="str">
        <v>MR0901021</v>
      </c>
      <c r="B139" t="str">
        <v>TOSTONES</v>
      </c>
      <c r="C139" t="str">
        <v>Materia Prima Alimentos</v>
      </c>
      <c r="D139" t="str">
        <v>LIBRA</v>
      </c>
      <c r="E139">
        <v>30.70375</v>
      </c>
      <c r="F139" t="str">
        <v/>
      </c>
      <c r="G139">
        <f>F139-E139</f>
      </c>
      <c r="H139" t="str">
        <v/>
      </c>
    </row>
    <row r="140">
      <c r="A140" t="str">
        <v>MR0703002</v>
      </c>
      <c r="B140" t="str">
        <v>CREMA PURA ESPECIAL</v>
      </c>
      <c r="C140" t="str">
        <v>Materia Prima Lacteos</v>
      </c>
      <c r="D140" t="str">
        <v>LITRO</v>
      </c>
      <c r="E140">
        <v>10.057424</v>
      </c>
      <c r="F140" t="str">
        <v/>
      </c>
      <c r="G140">
        <f>F140-E140</f>
      </c>
      <c r="H140" t="str">
        <v/>
      </c>
    </row>
    <row r="141">
      <c r="A141" t="str">
        <v>MR0522023</v>
      </c>
      <c r="B141" t="str">
        <v>LECHE CONDENSADA</v>
      </c>
      <c r="C141" t="str">
        <v>Materia Prima Lacteos</v>
      </c>
      <c r="D141" t="str">
        <v>LIBRA</v>
      </c>
      <c r="E141">
        <v>3.26027</v>
      </c>
      <c r="F141" t="str">
        <v/>
      </c>
      <c r="G141">
        <f>F141-E141</f>
      </c>
      <c r="H141" t="str">
        <v/>
      </c>
    </row>
    <row r="142">
      <c r="A142" t="str">
        <v>MR0522032</v>
      </c>
      <c r="B142" t="str">
        <v>MANTEQUILLA SIN SAL</v>
      </c>
      <c r="C142" t="str">
        <v>Materia Prima Lacteos</v>
      </c>
      <c r="D142" t="str">
        <v>LIBRA</v>
      </c>
      <c r="E142">
        <v>14.894026</v>
      </c>
      <c r="F142" t="str">
        <v/>
      </c>
      <c r="G142">
        <f>F142-E142</f>
      </c>
      <c r="H142" t="str">
        <v/>
      </c>
    </row>
    <row r="143">
      <c r="A143" t="str">
        <v>MR0704012</v>
      </c>
      <c r="B143" t="str">
        <v>QUESO CHEDDAR LATA</v>
      </c>
      <c r="C143" t="str">
        <v>Materia Prima Lacteos</v>
      </c>
      <c r="D143" t="str">
        <v>LIBRA</v>
      </c>
      <c r="E143">
        <v>3.970734</v>
      </c>
      <c r="F143" t="str">
        <v/>
      </c>
      <c r="G143">
        <f>F143-E143</f>
      </c>
      <c r="H143" t="str">
        <v/>
      </c>
    </row>
    <row r="144">
      <c r="A144" t="str">
        <v>MR0704010</v>
      </c>
      <c r="B144" t="str">
        <v>QUESO DE MANTEQUILLA</v>
      </c>
      <c r="C144" t="str">
        <v>Materia Prima Lacteos</v>
      </c>
      <c r="D144" t="str">
        <v>LIBRA</v>
      </c>
      <c r="E144">
        <v>12.43625</v>
      </c>
      <c r="F144" t="str">
        <v/>
      </c>
      <c r="G144">
        <f>F144-E144</f>
      </c>
      <c r="H144" t="str">
        <v/>
      </c>
    </row>
    <row r="145">
      <c r="A145" t="str">
        <v>MR0704014</v>
      </c>
      <c r="B145" t="str">
        <v>QUESO IZALQUEÑO</v>
      </c>
      <c r="C145" t="str">
        <v>Materia Prima Lacteos</v>
      </c>
      <c r="D145" t="str">
        <v>LIBRA</v>
      </c>
      <c r="E145">
        <v>24.045625</v>
      </c>
      <c r="F145" t="str">
        <v/>
      </c>
      <c r="G145">
        <f>F145-E145</f>
      </c>
      <c r="H145" t="str">
        <v/>
      </c>
    </row>
    <row r="146">
      <c r="A146" t="str">
        <v>MR0704003</v>
      </c>
      <c r="B146" t="str">
        <v>QUESO MOZZARELLA RALLADO</v>
      </c>
      <c r="C146" t="str">
        <v>Materia Prima Lacteos</v>
      </c>
      <c r="D146" t="str">
        <v>LIBRA</v>
      </c>
      <c r="E146">
        <v>49.255</v>
      </c>
      <c r="F146" t="str">
        <v/>
      </c>
      <c r="G146">
        <f>F146-E146</f>
      </c>
      <c r="H146" t="str">
        <v/>
      </c>
    </row>
    <row r="147">
      <c r="A147" t="str">
        <v>MR0704004</v>
      </c>
      <c r="B147" t="str">
        <v>QUESO MOZZARELLA REBANADO</v>
      </c>
      <c r="C147" t="str">
        <v>Materia Prima Lacteos</v>
      </c>
      <c r="D147" t="str">
        <v>LIBRA</v>
      </c>
      <c r="E147">
        <v>8.592053</v>
      </c>
      <c r="F147" t="str">
        <v/>
      </c>
      <c r="G147">
        <f>F147-E147</f>
      </c>
      <c r="H147" t="str">
        <v/>
      </c>
    </row>
    <row r="148">
      <c r="A148" t="str">
        <v>MR0704022</v>
      </c>
      <c r="B148" t="str">
        <v>QUESO PARMESANO</v>
      </c>
      <c r="C148" t="str">
        <v>Materia Prima Lacteos</v>
      </c>
      <c r="D148" t="str">
        <v>ONZAS</v>
      </c>
      <c r="E148">
        <v>5.25124</v>
      </c>
      <c r="F148" t="str">
        <v/>
      </c>
      <c r="G148">
        <f>F148-E148</f>
      </c>
      <c r="H148" t="str">
        <v/>
      </c>
    </row>
    <row r="149">
      <c r="A149" t="str">
        <v>MR0704006</v>
      </c>
      <c r="B149" t="str">
        <v>QUESO PROCESADO REBANADO</v>
      </c>
      <c r="C149" t="str">
        <v>Materia Prima Lacteos</v>
      </c>
      <c r="D149" t="str">
        <v>LIBRA</v>
      </c>
      <c r="E149">
        <v>6.140938</v>
      </c>
      <c r="F149" t="str">
        <v/>
      </c>
      <c r="G149">
        <f>F149-E149</f>
      </c>
      <c r="H149" t="str">
        <v/>
      </c>
    </row>
    <row r="150">
      <c r="A150" t="str">
        <v>MR0701001</v>
      </c>
      <c r="B150" t="str">
        <v>SORBETE VAINILLA</v>
      </c>
      <c r="C150" t="str">
        <v>Materia Prima Lacteos</v>
      </c>
      <c r="D150" t="str">
        <v>LITRO</v>
      </c>
      <c r="E150">
        <v>18.969738</v>
      </c>
      <c r="F150" t="str">
        <v/>
      </c>
      <c r="G150">
        <f>F150-E150</f>
      </c>
      <c r="H150" t="str">
        <v/>
      </c>
    </row>
    <row r="151">
      <c r="A151" t="str">
        <v>MR0101002</v>
      </c>
      <c r="B151" t="str">
        <v>ALA FRESCA</v>
      </c>
      <c r="C151" t="str">
        <v>Materia Prima Proteinas</v>
      </c>
      <c r="D151" t="str">
        <v>LIBRA</v>
      </c>
      <c r="E151">
        <v>18.38623</v>
      </c>
      <c r="F151" t="str">
        <v/>
      </c>
      <c r="G151">
        <f>F151-E151</f>
      </c>
      <c r="H151" t="str">
        <v/>
      </c>
    </row>
    <row r="152">
      <c r="A152" t="str">
        <v>MR0801017</v>
      </c>
      <c r="B152" t="str">
        <v>ALMEJA</v>
      </c>
      <c r="C152" t="str">
        <v>Materia Prima Proteinas</v>
      </c>
      <c r="D152" t="str">
        <v>LIBRA</v>
      </c>
      <c r="E152">
        <v>19.5325</v>
      </c>
      <c r="F152" t="str">
        <v/>
      </c>
      <c r="G152">
        <f>F152-E152</f>
      </c>
      <c r="H152" t="str">
        <v/>
      </c>
    </row>
    <row r="153">
      <c r="A153" t="str">
        <v>MR0801012</v>
      </c>
      <c r="B153" t="str">
        <v>CABEZA DE PESCADO</v>
      </c>
      <c r="C153" t="str">
        <v>Materia Prima Proteinas</v>
      </c>
      <c r="D153" t="str">
        <v>LIBRA</v>
      </c>
      <c r="E153">
        <v>1.138211</v>
      </c>
      <c r="F153" t="str">
        <v/>
      </c>
      <c r="G153">
        <f>F153-E153</f>
      </c>
      <c r="H153" t="str">
        <v/>
      </c>
    </row>
    <row r="154">
      <c r="A154" t="str">
        <v>MR0801027</v>
      </c>
      <c r="B154" t="str">
        <v>CALAMAR</v>
      </c>
      <c r="C154" t="str">
        <v>Materia Prima Proteinas</v>
      </c>
      <c r="D154" t="str">
        <v>LIBRA</v>
      </c>
      <c r="E154">
        <v>159.239762</v>
      </c>
      <c r="F154" t="str">
        <v/>
      </c>
      <c r="G154">
        <f>F154-E154</f>
      </c>
      <c r="H154" t="str">
        <v/>
      </c>
    </row>
    <row r="155">
      <c r="A155" t="str">
        <v>MR0801006</v>
      </c>
      <c r="B155" t="str">
        <v>CAMARON 36/40</v>
      </c>
      <c r="C155" t="str">
        <v>Materia Prima Proteinas</v>
      </c>
      <c r="D155" t="str">
        <v>LIBRA</v>
      </c>
      <c r="E155">
        <v>197.63375</v>
      </c>
      <c r="F155" t="str">
        <v/>
      </c>
      <c r="G155">
        <f>F155-E155</f>
      </c>
      <c r="H155" t="str">
        <v/>
      </c>
    </row>
    <row r="156">
      <c r="A156" t="str">
        <v>MR0522039</v>
      </c>
      <c r="B156" t="str">
        <v>CAMARON U11</v>
      </c>
      <c r="C156" t="str">
        <v>Materia Prima Proteinas</v>
      </c>
      <c r="D156" t="str">
        <v>LIBRA</v>
      </c>
      <c r="E156">
        <v>16.665855</v>
      </c>
      <c r="F156" t="str">
        <v/>
      </c>
      <c r="G156">
        <f>F156-E156</f>
      </c>
      <c r="H156" t="str">
        <v/>
      </c>
    </row>
    <row r="157">
      <c r="A157" t="str">
        <v>MR0401006</v>
      </c>
      <c r="B157" t="str">
        <v>CHORIZO DESAYUNO NUREMBERG</v>
      </c>
      <c r="C157" t="str">
        <v>Materia Prima Proteinas</v>
      </c>
      <c r="D157" t="str">
        <v>UNIDAD</v>
      </c>
      <c r="E157">
        <v>19</v>
      </c>
      <c r="F157" t="str">
        <v/>
      </c>
      <c r="G157">
        <f>F157-E157</f>
      </c>
      <c r="H157" t="str">
        <v/>
      </c>
    </row>
    <row r="158">
      <c r="A158" t="str">
        <v>MR0401003</v>
      </c>
      <c r="B158" t="str">
        <v>CHORIZO PARRILLADA GAUCHA</v>
      </c>
      <c r="C158" t="str">
        <v>Materia Prima Proteinas</v>
      </c>
      <c r="D158" t="str">
        <v>LIBRA</v>
      </c>
      <c r="E158">
        <v>19.433125</v>
      </c>
      <c r="F158" t="str">
        <v/>
      </c>
      <c r="G158">
        <f>F158-E158</f>
      </c>
      <c r="H158" t="str">
        <v/>
      </c>
    </row>
    <row r="159">
      <c r="A159" t="str">
        <v>MR0801011</v>
      </c>
      <c r="B159" t="str">
        <v>COLA DE LANGOSTA</v>
      </c>
      <c r="C159" t="str">
        <v>Materia Prima Proteinas</v>
      </c>
      <c r="D159" t="str">
        <v>UNIDAD</v>
      </c>
      <c r="E159">
        <v>148.5</v>
      </c>
      <c r="F159" t="str">
        <v/>
      </c>
      <c r="G159">
        <f>F159-E159</f>
      </c>
      <c r="H159" t="str">
        <v/>
      </c>
    </row>
    <row r="160">
      <c r="A160" t="str">
        <v>CP01250901</v>
      </c>
      <c r="B160" t="str">
        <v>CP BONELESS PORCION</v>
      </c>
      <c r="C160" t="str">
        <v>Materia Prima Proteinas</v>
      </c>
      <c r="D160" t="str">
        <v>PORCION</v>
      </c>
      <c r="E160">
        <v>43</v>
      </c>
      <c r="F160" t="str">
        <v/>
      </c>
      <c r="G160">
        <f>F160-E160</f>
      </c>
      <c r="H160" t="str">
        <v/>
      </c>
    </row>
    <row r="161">
      <c r="A161" t="str">
        <v>CP0104004</v>
      </c>
      <c r="B161" t="str">
        <v>CP CARNE PICADA</v>
      </c>
      <c r="C161" t="str">
        <v>Materia Prima Proteinas</v>
      </c>
      <c r="D161" t="str">
        <v>ONZAS</v>
      </c>
      <c r="E161">
        <v>118</v>
      </c>
      <c r="F161" t="str">
        <v/>
      </c>
      <c r="G161">
        <f>F161-E161</f>
      </c>
      <c r="H161" t="str">
        <v/>
      </c>
    </row>
    <row r="162">
      <c r="A162" t="str">
        <v>CP0104006</v>
      </c>
      <c r="B162" t="str">
        <v>CP FILETE LOMO AGUJA 8OZ</v>
      </c>
      <c r="C162" t="str">
        <v>Materia Prima Proteinas</v>
      </c>
      <c r="D162" t="str">
        <v>UNIDAD</v>
      </c>
      <c r="E162">
        <v>98.5</v>
      </c>
      <c r="F162" t="str">
        <v/>
      </c>
      <c r="G162">
        <f>F162-E162</f>
      </c>
      <c r="H162" t="str">
        <v/>
      </c>
    </row>
    <row r="163">
      <c r="A163" t="str">
        <v>CP0104005</v>
      </c>
      <c r="B163" t="str">
        <v>CP PATTIE DE RES 6 OZ</v>
      </c>
      <c r="C163" t="str">
        <v>Materia Prima Proteinas</v>
      </c>
      <c r="D163" t="str">
        <v>UNIDAD</v>
      </c>
      <c r="E163">
        <v>47</v>
      </c>
      <c r="F163" t="str">
        <v/>
      </c>
      <c r="G163">
        <f>F163-E163</f>
      </c>
      <c r="H163" t="str">
        <v/>
      </c>
    </row>
    <row r="164">
      <c r="A164" t="str">
        <v>CP0102004</v>
      </c>
      <c r="B164" t="str">
        <v>CP PULLED PORK</v>
      </c>
      <c r="C164" t="str">
        <v>Materia Prima Proteinas</v>
      </c>
      <c r="D164" t="str">
        <v>LIBRA</v>
      </c>
      <c r="E164">
        <v>12.37</v>
      </c>
      <c r="F164" t="str">
        <v/>
      </c>
      <c r="G164">
        <f>F164-E164</f>
      </c>
      <c r="H164" t="str">
        <v/>
      </c>
    </row>
    <row r="165">
      <c r="A165" t="str">
        <v>MR0801019</v>
      </c>
      <c r="B165" t="str">
        <v>CURVINA ENTERA</v>
      </c>
      <c r="C165" t="str">
        <v>Materia Prima Proteinas</v>
      </c>
      <c r="D165" t="str">
        <v>UNIDAD</v>
      </c>
      <c r="E165">
        <v>103</v>
      </c>
      <c r="F165" t="str">
        <v/>
      </c>
      <c r="G165">
        <f>F165-E165</f>
      </c>
      <c r="H165" t="str">
        <v/>
      </c>
    </row>
    <row r="166">
      <c r="A166" t="str">
        <v>MR0801014</v>
      </c>
      <c r="B166" t="str">
        <v>FILETE DE PESCADO</v>
      </c>
      <c r="C166" t="str">
        <v>Materia Prima Proteinas</v>
      </c>
      <c r="D166" t="str">
        <v>LIBRA</v>
      </c>
      <c r="E166">
        <v>90.842759</v>
      </c>
      <c r="F166" t="str">
        <v/>
      </c>
      <c r="G166">
        <f>F166-E166</f>
      </c>
      <c r="H166" t="str">
        <v/>
      </c>
    </row>
    <row r="167">
      <c r="A167" t="str">
        <v>MR0801016</v>
      </c>
      <c r="B167" t="str">
        <v>JAIBA</v>
      </c>
      <c r="C167" t="str">
        <v>Materia Prima Proteinas</v>
      </c>
      <c r="D167" t="str">
        <v>UNIDAD</v>
      </c>
      <c r="E167">
        <v>106.5</v>
      </c>
      <c r="F167" t="str">
        <v/>
      </c>
      <c r="G167">
        <f>F167-E167</f>
      </c>
      <c r="H167" t="str">
        <v/>
      </c>
    </row>
    <row r="168">
      <c r="A168" t="str">
        <v>MR0401015</v>
      </c>
      <c r="B168" t="str">
        <v>JAMON VIRGINIA</v>
      </c>
      <c r="C168" t="str">
        <v>Materia Prima Proteinas</v>
      </c>
      <c r="D168" t="str">
        <v>LIBRA</v>
      </c>
      <c r="E168">
        <v>3.455</v>
      </c>
      <c r="F168" t="str">
        <v/>
      </c>
      <c r="G168">
        <f>F168-E168</f>
      </c>
      <c r="H168" t="str">
        <v/>
      </c>
    </row>
    <row r="169">
      <c r="A169" t="str">
        <v>MR0801010</v>
      </c>
      <c r="B169" t="str">
        <v>MEJILLONES</v>
      </c>
      <c r="C169" t="str">
        <v>Materia Prima Proteinas</v>
      </c>
      <c r="D169" t="str">
        <v>LIBRA</v>
      </c>
      <c r="E169">
        <v>3.317575</v>
      </c>
      <c r="F169" t="str">
        <v/>
      </c>
      <c r="G169">
        <f>F169-E169</f>
      </c>
      <c r="H169" t="str">
        <v/>
      </c>
    </row>
    <row r="170">
      <c r="A170" t="str">
        <v>MR0101003</v>
      </c>
      <c r="B170" t="str">
        <v>PECHUGA DESHUESADA DE POLLO</v>
      </c>
      <c r="C170" t="str">
        <v>Materia Prima Proteinas</v>
      </c>
      <c r="D170" t="str">
        <v>LIBRA</v>
      </c>
      <c r="E170">
        <v>19.678524</v>
      </c>
      <c r="F170" t="str">
        <v/>
      </c>
      <c r="G170">
        <f>F170-E170</f>
      </c>
      <c r="H170" t="str">
        <v/>
      </c>
    </row>
    <row r="171">
      <c r="A171" t="str">
        <v>MR0201008</v>
      </c>
      <c r="B171" t="str">
        <v>PEPERONI</v>
      </c>
      <c r="C171" t="str">
        <v>Materia Prima Proteinas</v>
      </c>
      <c r="D171" t="str">
        <v>LIBRA</v>
      </c>
      <c r="E171">
        <v>5.36</v>
      </c>
      <c r="F171" t="str">
        <v/>
      </c>
      <c r="G171">
        <f>F171-E171</f>
      </c>
      <c r="H171" t="str">
        <v/>
      </c>
    </row>
    <row r="172">
      <c r="A172" t="str">
        <v>MR0801026</v>
      </c>
      <c r="B172" t="str">
        <v>PESCADETAS</v>
      </c>
      <c r="C172" t="str">
        <v>Materia Prima Proteinas</v>
      </c>
      <c r="D172" t="str">
        <v>LIBRA</v>
      </c>
      <c r="E172">
        <v>45.73348</v>
      </c>
      <c r="F172" t="str">
        <v/>
      </c>
      <c r="G172">
        <f>F172-E172</f>
      </c>
      <c r="H172" t="str">
        <v/>
      </c>
    </row>
    <row r="173">
      <c r="A173" t="str">
        <v>MR0801001</v>
      </c>
      <c r="B173" t="str">
        <v>SALMON FRESCO</v>
      </c>
      <c r="C173" t="str">
        <v>Materia Prima Proteinas</v>
      </c>
      <c r="D173" t="str">
        <v>LIBRA</v>
      </c>
      <c r="E173">
        <v>7.130292</v>
      </c>
      <c r="F173" t="str">
        <v/>
      </c>
      <c r="G173">
        <f>F173-E173</f>
      </c>
      <c r="H173" t="str">
        <v/>
      </c>
    </row>
    <row r="174">
      <c r="A174" t="str">
        <v>MR0401007</v>
      </c>
      <c r="B174" t="str">
        <v>TOCINO</v>
      </c>
      <c r="C174" t="str">
        <v>Materia Prima Proteinas</v>
      </c>
      <c r="D174" t="str">
        <v>LIBRA</v>
      </c>
      <c r="E174">
        <v>12.0175</v>
      </c>
      <c r="F174" t="str">
        <v/>
      </c>
      <c r="G174">
        <f>F174-E174</f>
      </c>
      <c r="H174" t="str">
        <v/>
      </c>
    </row>
    <row r="175">
      <c r="A175" t="str">
        <v>MR0501001</v>
      </c>
      <c r="B175" t="str">
        <v>AGUACATE</v>
      </c>
      <c r="C175" t="str">
        <v>Materia Prima Vegetales</v>
      </c>
      <c r="D175" t="str">
        <v>LIBRA</v>
      </c>
      <c r="E175">
        <v>13.7975</v>
      </c>
      <c r="F175" t="str">
        <v/>
      </c>
      <c r="G175">
        <f>F175-E175</f>
      </c>
      <c r="H175" t="str">
        <v/>
      </c>
    </row>
    <row r="176">
      <c r="A176" t="str">
        <v>MR0502003</v>
      </c>
      <c r="B176" t="str">
        <v>APIO</v>
      </c>
      <c r="C176" t="str">
        <v>Materia Prima Vegetales</v>
      </c>
      <c r="D176" t="str">
        <v>LIBRA</v>
      </c>
      <c r="E176">
        <v>37.745744</v>
      </c>
      <c r="F176" t="str">
        <v/>
      </c>
      <c r="G176">
        <f>F176-E176</f>
      </c>
      <c r="H176" t="str">
        <v/>
      </c>
    </row>
    <row r="177">
      <c r="A177" t="str">
        <v>MR0502004</v>
      </c>
      <c r="B177" t="str">
        <v>ARUGULA</v>
      </c>
      <c r="C177" t="str">
        <v>Materia Prima Vegetales</v>
      </c>
      <c r="D177" t="str">
        <v>LIBRA</v>
      </c>
      <c r="E177">
        <v>1.85625</v>
      </c>
      <c r="F177" t="str">
        <v/>
      </c>
      <c r="G177">
        <f>F177-E177</f>
      </c>
      <c r="H177" t="str">
        <v/>
      </c>
    </row>
    <row r="178">
      <c r="A178" t="str">
        <v>MR0522008</v>
      </c>
      <c r="B178" t="str">
        <v>BROCCOLI</v>
      </c>
      <c r="C178" t="str">
        <v>Materia Prima Vegetales</v>
      </c>
      <c r="D178" t="str">
        <v>LIBRA</v>
      </c>
      <c r="E178">
        <v>72.2412</v>
      </c>
      <c r="F178" t="str">
        <v/>
      </c>
      <c r="G178">
        <f>F178-E178</f>
      </c>
      <c r="H178" t="str">
        <v/>
      </c>
    </row>
    <row r="179">
      <c r="A179" t="str">
        <v>MR0501005</v>
      </c>
      <c r="B179" t="str">
        <v>CEBOLLA MORADA</v>
      </c>
      <c r="C179" t="str">
        <v>Materia Prima Vegetales</v>
      </c>
      <c r="D179" t="str">
        <v>LIBRA</v>
      </c>
      <c r="E179">
        <v>104.337942</v>
      </c>
      <c r="F179" t="str">
        <v/>
      </c>
      <c r="G179">
        <f>F179-E179</f>
      </c>
      <c r="H179" t="str">
        <v/>
      </c>
    </row>
    <row r="180">
      <c r="A180" t="str">
        <v>MR0501008</v>
      </c>
      <c r="B180" t="str">
        <v>CHILE JALAPEÑO</v>
      </c>
      <c r="C180" t="str">
        <v>Materia Prima Vegetales</v>
      </c>
      <c r="D180" t="str">
        <v>LIBRA</v>
      </c>
      <c r="E180">
        <v>0.644255</v>
      </c>
      <c r="F180" t="str">
        <v/>
      </c>
      <c r="G180">
        <f>F180-E180</f>
      </c>
      <c r="H180" t="str">
        <v/>
      </c>
    </row>
    <row r="181">
      <c r="A181" t="str">
        <v>MR0501009</v>
      </c>
      <c r="B181" t="str">
        <v>CHILE ROJO</v>
      </c>
      <c r="C181" t="str">
        <v>Materia Prima Vegetales</v>
      </c>
      <c r="D181" t="str">
        <v>LIBRA</v>
      </c>
      <c r="E181">
        <v>22.351763</v>
      </c>
      <c r="F181" t="str">
        <v/>
      </c>
      <c r="G181">
        <f>F181-E181</f>
      </c>
      <c r="H181" t="str">
        <v/>
      </c>
    </row>
    <row r="182">
      <c r="A182" t="str">
        <v>MR0501010</v>
      </c>
      <c r="B182" t="str">
        <v>CHILE VERDE</v>
      </c>
      <c r="C182" t="str">
        <v>Materia Prima Vegetales</v>
      </c>
      <c r="D182" t="str">
        <v>LIBRA</v>
      </c>
      <c r="E182">
        <v>8.927133</v>
      </c>
      <c r="F182" t="str">
        <v/>
      </c>
      <c r="G182">
        <f>F182-E182</f>
      </c>
      <c r="H182" t="str">
        <v/>
      </c>
    </row>
    <row r="183">
      <c r="A183" t="str">
        <v>MR0501037</v>
      </c>
      <c r="B183" t="str">
        <v>ELOTE AMARILLO ENTERO</v>
      </c>
      <c r="C183" t="str">
        <v>Materia Prima Vegetales</v>
      </c>
      <c r="D183" t="str">
        <v>UNIDAD</v>
      </c>
      <c r="E183">
        <v>95.65</v>
      </c>
      <c r="F183" t="str">
        <v/>
      </c>
      <c r="G183">
        <f>F183-E183</f>
      </c>
      <c r="H183" t="str">
        <v/>
      </c>
    </row>
    <row r="184">
      <c r="A184" t="str">
        <v>MR0601045</v>
      </c>
      <c r="B184" t="str">
        <v>ESPINACA</v>
      </c>
      <c r="C184" t="str">
        <v>Materia Prima Vegetales</v>
      </c>
      <c r="D184" t="str">
        <v>LIBRA</v>
      </c>
      <c r="E184">
        <v>10.294273</v>
      </c>
      <c r="F184" t="str">
        <v/>
      </c>
      <c r="G184">
        <f>F184-E184</f>
      </c>
      <c r="H184" t="str">
        <v/>
      </c>
    </row>
    <row r="185">
      <c r="A185" t="str">
        <v>MR0502006</v>
      </c>
      <c r="B185" t="str">
        <v>HIERBABUENA</v>
      </c>
      <c r="C185" t="str">
        <v>Materia Prima Vegetales</v>
      </c>
      <c r="D185" t="str">
        <v>LIBRA</v>
      </c>
      <c r="E185">
        <v>6.300295</v>
      </c>
      <c r="F185" t="str">
        <v/>
      </c>
      <c r="G185">
        <f>F185-E185</f>
      </c>
      <c r="H185" t="str">
        <v/>
      </c>
    </row>
    <row r="186">
      <c r="A186" t="str">
        <v>MR0501013</v>
      </c>
      <c r="B186" t="str">
        <v>JENGIBRE FRESCO</v>
      </c>
      <c r="C186" t="str">
        <v>Materia Prima Vegetales</v>
      </c>
      <c r="D186" t="str">
        <v>LIBRA</v>
      </c>
      <c r="E186">
        <v>1.716644</v>
      </c>
      <c r="F186" t="str">
        <v/>
      </c>
      <c r="G186">
        <f>F186-E186</f>
      </c>
      <c r="H186" t="str">
        <v/>
      </c>
    </row>
    <row r="187">
      <c r="A187" t="str">
        <v>MR0501015</v>
      </c>
      <c r="B187" t="str">
        <v>LECHUGA ROMANA</v>
      </c>
      <c r="C187" t="str">
        <v>Materia Prima Vegetales</v>
      </c>
      <c r="D187" t="str">
        <v>LIBRA</v>
      </c>
      <c r="E187">
        <v>13.784467</v>
      </c>
      <c r="F187" t="str">
        <v/>
      </c>
      <c r="G187">
        <f>F187-E187</f>
      </c>
      <c r="H187" t="str">
        <v/>
      </c>
    </row>
    <row r="188">
      <c r="A188" t="str">
        <v>MR0501016</v>
      </c>
      <c r="B188" t="str">
        <v>LIMON PERSICO</v>
      </c>
      <c r="C188" t="str">
        <v>Materia Prima Vegetales</v>
      </c>
      <c r="D188" t="str">
        <v>LIBRA</v>
      </c>
      <c r="E188">
        <v>94.569201</v>
      </c>
      <c r="F188" t="str">
        <v/>
      </c>
      <c r="G188">
        <f>F188-E188</f>
      </c>
      <c r="H188" t="str">
        <v/>
      </c>
    </row>
    <row r="189">
      <c r="A189" t="str">
        <v>MR0502014</v>
      </c>
      <c r="B189" t="str">
        <v>MILTOMATE</v>
      </c>
      <c r="C189" t="str">
        <v>Materia Prima Vegetales</v>
      </c>
      <c r="D189" t="str">
        <v>LIBRA</v>
      </c>
      <c r="E189">
        <v>4.526832</v>
      </c>
      <c r="F189" t="str">
        <v/>
      </c>
      <c r="G189">
        <f>F189-E189</f>
      </c>
      <c r="H189" t="str">
        <v/>
      </c>
    </row>
    <row r="190">
      <c r="A190" t="str">
        <v>MR0501019</v>
      </c>
      <c r="B190" t="str">
        <v>PAPA SOLOMA</v>
      </c>
      <c r="C190" t="str">
        <v>Materia Prima Vegetales</v>
      </c>
      <c r="D190" t="str">
        <v>LIBRA</v>
      </c>
      <c r="E190">
        <v>163.431221</v>
      </c>
      <c r="F190" t="str">
        <v/>
      </c>
      <c r="G190">
        <f>F190-E190</f>
      </c>
      <c r="H190" t="str">
        <v/>
      </c>
    </row>
    <row r="191">
      <c r="A191" t="str">
        <v>MR0501035</v>
      </c>
      <c r="B191" t="str">
        <v>PAPAYA MADURA</v>
      </c>
      <c r="C191" t="str">
        <v>Materia Prima Vegetales</v>
      </c>
      <c r="D191" t="str">
        <v>LIBRA</v>
      </c>
      <c r="E191">
        <v>7</v>
      </c>
      <c r="F191" t="str">
        <v/>
      </c>
      <c r="G191">
        <f>F191-E191</f>
      </c>
      <c r="H191" t="str">
        <v/>
      </c>
    </row>
    <row r="192">
      <c r="A192" t="str">
        <v>MR0501020</v>
      </c>
      <c r="B192" t="str">
        <v>PEPINO</v>
      </c>
      <c r="C192" t="str">
        <v>Materia Prima Vegetales</v>
      </c>
      <c r="D192" t="str">
        <v>LIBRA</v>
      </c>
      <c r="E192">
        <v>29.133001</v>
      </c>
      <c r="F192" t="str">
        <v/>
      </c>
      <c r="G192">
        <f>F192-E192</f>
      </c>
      <c r="H192" t="str">
        <v/>
      </c>
    </row>
    <row r="193">
      <c r="A193" t="str">
        <v>MR0301070</v>
      </c>
      <c r="B193" t="str">
        <v>PIÑA ENTERA</v>
      </c>
      <c r="C193" t="str">
        <v>Materia Prima Vegetales</v>
      </c>
      <c r="D193" t="str">
        <v>LIBRA</v>
      </c>
      <c r="E193">
        <v>30.836546</v>
      </c>
      <c r="F193" t="str">
        <v/>
      </c>
      <c r="G193">
        <f>F193-E193</f>
      </c>
      <c r="H193" t="str">
        <v/>
      </c>
    </row>
    <row r="194">
      <c r="A194" t="str">
        <v>MR0501024</v>
      </c>
      <c r="B194" t="str">
        <v>REPOLLO MORADO</v>
      </c>
      <c r="C194" t="str">
        <v>Materia Prima Vegetales</v>
      </c>
      <c r="D194" t="str">
        <v>LIBRA</v>
      </c>
      <c r="E194">
        <v>25.572693</v>
      </c>
      <c r="F194" t="str">
        <v/>
      </c>
      <c r="G194">
        <f>F194-E194</f>
      </c>
      <c r="H194" t="str">
        <v/>
      </c>
    </row>
    <row r="195">
      <c r="A195" t="str">
        <v>MR0502085</v>
      </c>
      <c r="B195" t="str">
        <v>ROMERO FRESCO</v>
      </c>
      <c r="C195" t="str">
        <v>Materia Prima Vegetales</v>
      </c>
      <c r="D195" t="str">
        <v>LIBRA</v>
      </c>
      <c r="E195">
        <v>0.09907</v>
      </c>
      <c r="F195" t="str">
        <v/>
      </c>
      <c r="G195">
        <f>F195-E195</f>
      </c>
      <c r="H195" t="str">
        <v/>
      </c>
    </row>
    <row r="196">
      <c r="A196" t="str">
        <v>MR0501036</v>
      </c>
      <c r="B196" t="str">
        <v>TOMATE CHERRY ROJO</v>
      </c>
      <c r="C196" t="str">
        <v>Materia Prima Vegetales</v>
      </c>
      <c r="D196" t="str">
        <v>LIBRA</v>
      </c>
      <c r="E196">
        <v>14.603206</v>
      </c>
      <c r="F196" t="str">
        <v/>
      </c>
      <c r="G196">
        <f>F196-E196</f>
      </c>
      <c r="H196" t="str">
        <v/>
      </c>
    </row>
    <row r="197">
      <c r="A197" t="str">
        <v>MR0501025</v>
      </c>
      <c r="B197" t="str">
        <v>TOMATE DE COCINA</v>
      </c>
      <c r="C197" t="str">
        <v>Materia Prima Vegetales</v>
      </c>
      <c r="D197" t="str">
        <v>LIBRA</v>
      </c>
      <c r="E197">
        <v>104.718569</v>
      </c>
      <c r="F197" t="str">
        <v/>
      </c>
      <c r="G197">
        <f>F197-E197</f>
      </c>
      <c r="H197" t="str">
        <v/>
      </c>
    </row>
    <row r="198">
      <c r="A198" t="str">
        <v>MR0501026</v>
      </c>
      <c r="B198" t="str">
        <v>TOMATE DE ENSALADA</v>
      </c>
      <c r="C198" t="str">
        <v>Materia Prima Vegetales</v>
      </c>
      <c r="D198" t="str">
        <v>LIBRA</v>
      </c>
      <c r="E198">
        <v>0.81</v>
      </c>
      <c r="F198" t="str">
        <v/>
      </c>
      <c r="G198">
        <f>F198-E198</f>
      </c>
      <c r="H198" t="str">
        <v/>
      </c>
    </row>
    <row r="199">
      <c r="A199" t="str">
        <v>MR0501029</v>
      </c>
      <c r="B199" t="str">
        <v>ZANAHORIA</v>
      </c>
      <c r="C199" t="str">
        <v>Materia Prima Vegetales</v>
      </c>
      <c r="D199" t="str">
        <v>LIBRA</v>
      </c>
      <c r="E199">
        <v>53.6984</v>
      </c>
      <c r="F199" t="str">
        <v/>
      </c>
      <c r="G199">
        <f>F199-E199</f>
      </c>
      <c r="H199" t="str">
        <v/>
      </c>
    </row>
    <row r="200">
      <c r="A200" t="str">
        <v>MR1402026</v>
      </c>
      <c r="B200" t="str">
        <v>DEPOSITO 2 OZ Y TAPA</v>
      </c>
      <c r="C200" t="str">
        <v>Material de Empaque Restaurante</v>
      </c>
      <c r="D200" t="str">
        <v>UNIDAD</v>
      </c>
      <c r="E200">
        <v>2250</v>
      </c>
      <c r="F200" t="str">
        <v/>
      </c>
      <c r="G200">
        <f>F200-E200</f>
      </c>
      <c r="H200" t="str">
        <v/>
      </c>
    </row>
    <row r="201">
      <c r="A201" t="str">
        <v>GT0101073</v>
      </c>
      <c r="B201" t="str">
        <v>GUANTE DE NITRILO COLOR NEGRO</v>
      </c>
      <c r="C201" t="str">
        <v>Material de Empaque Restaurante</v>
      </c>
      <c r="D201" t="str">
        <v>PAQUETE</v>
      </c>
      <c r="E201">
        <v>3</v>
      </c>
      <c r="F201" t="str">
        <v/>
      </c>
      <c r="G201">
        <f>F201-E201</f>
      </c>
      <c r="H201" t="str">
        <v/>
      </c>
    </row>
    <row r="202">
      <c r="A202" t="str">
        <v>GT0201027</v>
      </c>
      <c r="B202" t="str">
        <v>INSERTO PARA TACOS</v>
      </c>
      <c r="C202" t="str">
        <v>Material de Empaque Restaurante</v>
      </c>
      <c r="D202" t="str">
        <v>UNIDAD</v>
      </c>
      <c r="E202">
        <v>66</v>
      </c>
      <c r="F202" t="str">
        <v/>
      </c>
      <c r="G202">
        <f>F202-E202</f>
      </c>
      <c r="H202" t="str">
        <v/>
      </c>
    </row>
    <row r="203">
      <c r="A203" t="str">
        <v>MR1402036</v>
      </c>
      <c r="B203" t="str">
        <v>Paktech Azul</v>
      </c>
      <c r="C203" t="str">
        <v>Material de Empaque Restaurante</v>
      </c>
      <c r="D203" t="str">
        <v>UNIDAD</v>
      </c>
      <c r="E203">
        <v>60</v>
      </c>
      <c r="F203" t="str">
        <v/>
      </c>
      <c r="G203">
        <f>F203-E203</f>
      </c>
      <c r="H203" t="str">
        <v/>
      </c>
    </row>
    <row r="204">
      <c r="A204" t="str">
        <v>MR1402039</v>
      </c>
      <c r="B204" t="str">
        <v>Paktech Negro</v>
      </c>
      <c r="C204" t="str">
        <v>Material de Empaque Restaurante</v>
      </c>
      <c r="D204" t="str">
        <v>UNIDAD</v>
      </c>
      <c r="E204">
        <v>85</v>
      </c>
      <c r="F204" t="str">
        <v/>
      </c>
      <c r="G204">
        <f>F204-E204</f>
      </c>
      <c r="H204" t="str">
        <v/>
      </c>
    </row>
    <row r="205">
      <c r="A205" t="str">
        <v>MR1402037</v>
      </c>
      <c r="B205" t="str">
        <v>Paktech Verde</v>
      </c>
      <c r="C205" t="str">
        <v>Material de Empaque Restaurante</v>
      </c>
      <c r="D205" t="str">
        <v>UNIDAD</v>
      </c>
      <c r="E205">
        <v>25</v>
      </c>
      <c r="F205" t="str">
        <v/>
      </c>
      <c r="G205">
        <f>F205-E205</f>
      </c>
      <c r="H205" t="str">
        <v/>
      </c>
    </row>
    <row r="206">
      <c r="A206" t="str">
        <v>GT0201025</v>
      </c>
      <c r="B206" t="str">
        <v>PAPEL MANTEL CADEJO</v>
      </c>
      <c r="C206" t="str">
        <v>Material de Empaque Restaurante</v>
      </c>
      <c r="D206" t="str">
        <v>UNIDAD</v>
      </c>
      <c r="E206">
        <v>1000</v>
      </c>
      <c r="F206" t="str">
        <v/>
      </c>
      <c r="G206">
        <f>F206-E206</f>
      </c>
      <c r="H206" t="str">
        <v/>
      </c>
    </row>
    <row r="207">
      <c r="A207" t="str">
        <v>GT0901003</v>
      </c>
      <c r="B207" t="str">
        <v>PORTACUBIERTO</v>
      </c>
      <c r="C207" t="str">
        <v>Material de Empaque Restaurante</v>
      </c>
      <c r="D207" t="str">
        <v>UNIDAD</v>
      </c>
      <c r="E207">
        <v>1000</v>
      </c>
      <c r="F207" t="str">
        <v/>
      </c>
      <c r="G207">
        <f>F207-E207</f>
      </c>
      <c r="H207" t="str">
        <v/>
      </c>
    </row>
    <row r="208">
      <c r="A208" t="str">
        <v>GT0901009</v>
      </c>
      <c r="B208" t="str">
        <v>PORTACUCHARA</v>
      </c>
      <c r="C208" t="str">
        <v>Material de Empaque Restaurante</v>
      </c>
      <c r="D208" t="str">
        <v>UNIDAD</v>
      </c>
      <c r="E208">
        <v>500</v>
      </c>
      <c r="F208" t="str">
        <v/>
      </c>
      <c r="G208">
        <f>F208-E208</f>
      </c>
      <c r="H208" t="str">
        <v/>
      </c>
    </row>
    <row r="209">
      <c r="A209" t="str">
        <v>GT0601006</v>
      </c>
      <c r="B209" t="str">
        <v>RESMAS DE PAPEL BOND</v>
      </c>
      <c r="C209" t="str">
        <v>Material de Empaque Restaurante</v>
      </c>
      <c r="D209" t="str">
        <v>UNIDAD</v>
      </c>
      <c r="E209">
        <v>2</v>
      </c>
      <c r="F209" t="str">
        <v/>
      </c>
      <c r="G209">
        <f>F209-E209</f>
      </c>
      <c r="H209" t="str">
        <v/>
      </c>
    </row>
    <row r="210">
      <c r="A210" t="str">
        <v>SV0609006</v>
      </c>
      <c r="B210" t="str">
        <v>TAPA VASO PLASTICO PLANA</v>
      </c>
      <c r="C210" t="str">
        <v>Material de Empaque Restaurante</v>
      </c>
      <c r="D210" t="str">
        <v>UNIDAD</v>
      </c>
      <c r="E210">
        <v>100</v>
      </c>
      <c r="F210" t="str">
        <v/>
      </c>
      <c r="G210">
        <f>F210-E210</f>
      </c>
      <c r="H210" t="str">
        <v/>
      </c>
    </row>
    <row r="211">
      <c r="A211" t="str">
        <v>SV0402012</v>
      </c>
      <c r="B211" t="str">
        <v>TAPA VASO TIPO DOMO</v>
      </c>
      <c r="C211" t="str">
        <v>Material de Empaque Restaurante</v>
      </c>
      <c r="D211" t="str">
        <v>UNIDAD</v>
      </c>
      <c r="E211">
        <v>50</v>
      </c>
      <c r="F211" t="str">
        <v/>
      </c>
      <c r="G211">
        <f>F211-E211</f>
      </c>
      <c r="H211" t="str">
        <v/>
      </c>
    </row>
    <row r="212">
      <c r="A212" t="str">
        <v>GT0201010</v>
      </c>
      <c r="B212" t="str">
        <v>Vasos desechable café 12 oz</v>
      </c>
      <c r="C212" t="str">
        <v>Material de Empaque Restaurante</v>
      </c>
      <c r="D212" t="str">
        <v>PAQUETE</v>
      </c>
      <c r="E212">
        <v>75</v>
      </c>
      <c r="F212" t="str">
        <v/>
      </c>
      <c r="G212">
        <f>F212-E212</f>
      </c>
      <c r="H212" t="str">
        <v/>
      </c>
    </row>
    <row r="213">
      <c r="A213" t="str">
        <v>PM0204001</v>
      </c>
      <c r="B213" t="str">
        <v>VASOS DESECHABLES 12 ONZ CADEJO</v>
      </c>
      <c r="C213" t="str">
        <v>Material de Empaque Restaurante</v>
      </c>
      <c r="D213" t="str">
        <v>UNIDAD</v>
      </c>
      <c r="E213">
        <v>5450</v>
      </c>
      <c r="F213" t="str">
        <v/>
      </c>
      <c r="G213">
        <f>F213-E213</f>
      </c>
      <c r="H213" t="str">
        <v/>
      </c>
    </row>
    <row r="214">
      <c r="A214" t="str">
        <v>PM0204003</v>
      </c>
      <c r="B214" t="str">
        <v>VASOS PLASTICOS DE 32 ONZ</v>
      </c>
      <c r="C214" t="str">
        <v>Material de Empaque Restaurante</v>
      </c>
      <c r="D214" t="str">
        <v>UNIDAD</v>
      </c>
      <c r="E214">
        <v>1003</v>
      </c>
      <c r="F214" t="str">
        <v/>
      </c>
      <c r="G214">
        <f>F214-E214</f>
      </c>
      <c r="H214" t="str">
        <v/>
      </c>
    </row>
    <row r="215">
      <c r="A215" t="str">
        <v>MR0302007</v>
      </c>
      <c r="B215" t="str">
        <v>CAFE MOLIDO PARA PERSONAL</v>
      </c>
      <c r="C215" t="str">
        <v>Material Mesa</v>
      </c>
      <c r="D215" t="str">
        <v>LIBRA</v>
      </c>
      <c r="E215">
        <v>17</v>
      </c>
      <c r="F215" t="str">
        <v/>
      </c>
      <c r="G215">
        <f>F215-E215</f>
      </c>
      <c r="H215" t="str">
        <v/>
      </c>
    </row>
    <row r="216">
      <c r="A216" t="str">
        <v>MR0302011</v>
      </c>
      <c r="B216" t="str">
        <v>CHILE GROSERO 340 ML</v>
      </c>
      <c r="C216" t="str">
        <v>Material Mesa</v>
      </c>
      <c r="D216" t="str">
        <v>UNIDAD</v>
      </c>
      <c r="E216">
        <v>156</v>
      </c>
      <c r="F216" t="str">
        <v/>
      </c>
      <c r="G216">
        <f>F216-E216</f>
      </c>
      <c r="H216" t="str">
        <v/>
      </c>
    </row>
    <row r="217">
      <c r="A217" t="str">
        <v>AF0201023</v>
      </c>
      <c r="B217" t="str">
        <v>AIRE ACONDICIONADO 12000 BTU</v>
      </c>
      <c r="C217" t="str">
        <v xml:space="preserve">Mobiliario y Equipo </v>
      </c>
      <c r="D217" t="str">
        <v>UNIDAD</v>
      </c>
      <c r="E217">
        <v>1</v>
      </c>
      <c r="F217" t="str">
        <v/>
      </c>
      <c r="G217">
        <f>F217-E217</f>
      </c>
      <c r="H217" t="str">
        <v/>
      </c>
    </row>
    <row r="218">
      <c r="A218" t="str">
        <v>AF0201013</v>
      </c>
      <c r="B218" t="str">
        <v>IMPRESORA CANON E 402</v>
      </c>
      <c r="C218" t="str">
        <v xml:space="preserve">Mobiliario y Equipo </v>
      </c>
      <c r="D218" t="str">
        <v>UNIDAD</v>
      </c>
      <c r="E218">
        <v>1</v>
      </c>
      <c r="F218" t="str">
        <v/>
      </c>
      <c r="G218">
        <f>F218-E218</f>
      </c>
      <c r="H218" t="str">
        <v/>
      </c>
    </row>
    <row r="219">
      <c r="A219" t="str">
        <v>AF0201025</v>
      </c>
      <c r="B219" t="str">
        <v>MICROONDAS</v>
      </c>
      <c r="C219" t="str">
        <v xml:space="preserve">Mobiliario y Equipo </v>
      </c>
      <c r="D219" t="str">
        <v>UNIDAD</v>
      </c>
      <c r="E219">
        <v>2</v>
      </c>
      <c r="F219" t="str">
        <v/>
      </c>
      <c r="G219">
        <f>F219-E219</f>
      </c>
      <c r="H219" t="str">
        <v/>
      </c>
    </row>
    <row r="220">
      <c r="A220" t="str">
        <v>AF0201009</v>
      </c>
      <c r="B220" t="str">
        <v>OTROS EQUIPOS</v>
      </c>
      <c r="C220" t="str">
        <v xml:space="preserve">Mobiliario y Equipo </v>
      </c>
      <c r="D220" t="str">
        <v>UNIDAD</v>
      </c>
      <c r="E220">
        <v>3</v>
      </c>
      <c r="F220" t="str">
        <v/>
      </c>
      <c r="G220">
        <f>F220-E220</f>
      </c>
      <c r="H220" t="str">
        <v/>
      </c>
    </row>
    <row r="221">
      <c r="A221" t="str">
        <v>AF0401006</v>
      </c>
      <c r="B221" t="str">
        <v>EQUIPO DE AUDIO Y VIDEO - RESTAURANTE</v>
      </c>
      <c r="C221" t="str">
        <v xml:space="preserve">Mobiliario Y Equipo Restaurante </v>
      </c>
      <c r="D221" t="str">
        <v>UNIDAD</v>
      </c>
      <c r="E221">
        <v>5</v>
      </c>
      <c r="F221" t="str">
        <v/>
      </c>
      <c r="G221">
        <f>F221-E221</f>
      </c>
      <c r="H221" t="str">
        <v/>
      </c>
    </row>
    <row r="222">
      <c r="A222" t="str">
        <v>AF0401050</v>
      </c>
      <c r="B222" t="str">
        <v>MAQUINA DE POP CORN - RESTAURANTE</v>
      </c>
      <c r="C222" t="str">
        <v xml:space="preserve">Mobiliario Y Equipo Restaurante </v>
      </c>
      <c r="D222" t="str">
        <v>UNIDAD</v>
      </c>
      <c r="E222">
        <v>1</v>
      </c>
      <c r="F222" t="str">
        <v/>
      </c>
      <c r="G222">
        <f>F222-E222</f>
      </c>
      <c r="H222" t="str">
        <v/>
      </c>
    </row>
    <row r="223">
      <c r="A223" t="str">
        <v>SV0501055</v>
      </c>
      <c r="B223" t="str">
        <v>MESAS Y SILLAS - RESTAURANTE</v>
      </c>
      <c r="C223" t="str">
        <v xml:space="preserve">Mobiliario Y Equipo Restaurante </v>
      </c>
      <c r="D223" t="str">
        <v>UNIDAD</v>
      </c>
      <c r="E223">
        <v>65</v>
      </c>
      <c r="F223" t="str">
        <v/>
      </c>
      <c r="G223">
        <f>F223-E223</f>
      </c>
      <c r="H223" t="str">
        <v/>
      </c>
    </row>
    <row r="224">
      <c r="A224" t="str">
        <v>AF0401007</v>
      </c>
      <c r="B224" t="str">
        <v>MOBILIARIO Y EQUIPO - RESTAURANTE</v>
      </c>
      <c r="C224" t="str">
        <v xml:space="preserve">Mobiliario Y Equipo Restaurante </v>
      </c>
      <c r="D224" t="str">
        <v>UNIDAD</v>
      </c>
      <c r="E224">
        <v>15</v>
      </c>
      <c r="F224" t="str">
        <v/>
      </c>
      <c r="G224">
        <f>F224-E224</f>
      </c>
      <c r="H224" t="str">
        <v/>
      </c>
    </row>
    <row r="225">
      <c r="A225" t="str">
        <v>AF0401004</v>
      </c>
      <c r="B225" t="str">
        <v>TABLET´S - RESTAURANTE</v>
      </c>
      <c r="C225" t="str">
        <v xml:space="preserve">Mobiliario Y Equipo Restaurante </v>
      </c>
      <c r="E225">
        <v>1</v>
      </c>
      <c r="F225" t="str">
        <v/>
      </c>
      <c r="G225">
        <f>F225-E225</f>
      </c>
      <c r="H225" t="str">
        <v/>
      </c>
    </row>
    <row r="226">
      <c r="A226" t="str">
        <v>AF0401033</v>
      </c>
      <c r="B226" t="str">
        <v>TELEVISOR  65 PULGADAS</v>
      </c>
      <c r="C226" t="str">
        <v xml:space="preserve">Mobiliario Y Equipo Restaurante </v>
      </c>
      <c r="D226" t="str">
        <v>UNIDAD</v>
      </c>
      <c r="E226">
        <v>1</v>
      </c>
      <c r="F226" t="str">
        <v/>
      </c>
      <c r="G226">
        <f>F226-E226</f>
      </c>
      <c r="H226" t="str">
        <v/>
      </c>
    </row>
    <row r="227">
      <c r="A227" t="str">
        <v>AF0401051</v>
      </c>
      <c r="B227" t="str">
        <v>TELEVISOR 32'</v>
      </c>
      <c r="C227" t="str">
        <v xml:space="preserve">Mobiliario Y Equipo Restaurante </v>
      </c>
      <c r="D227" t="str">
        <v>UNIDAD</v>
      </c>
      <c r="E227">
        <v>2</v>
      </c>
      <c r="F227" t="str">
        <v/>
      </c>
      <c r="G227">
        <f>F227-E227</f>
      </c>
      <c r="H227" t="str">
        <v/>
      </c>
    </row>
    <row r="228">
      <c r="A228" t="str">
        <v>AF0401057</v>
      </c>
      <c r="B228" t="str">
        <v>TELEVISOR 55'</v>
      </c>
      <c r="C228" t="str">
        <v xml:space="preserve">Mobiliario Y Equipo Restaurante </v>
      </c>
      <c r="D228" t="str">
        <v>UNIDAD</v>
      </c>
      <c r="E228">
        <v>2</v>
      </c>
      <c r="F228" t="str">
        <v/>
      </c>
      <c r="G228">
        <f>F228-E228</f>
      </c>
      <c r="H228" t="str">
        <v/>
      </c>
    </row>
    <row r="229">
      <c r="A229" t="str">
        <v>CP0300001</v>
      </c>
      <c r="B229" t="str">
        <v>CP BROWNIE</v>
      </c>
      <c r="C229" t="str">
        <v>Platos Sub-Recetas</v>
      </c>
      <c r="D229" t="str">
        <v>UNIDAD</v>
      </c>
      <c r="E229">
        <v>1</v>
      </c>
      <c r="F229" t="str">
        <v/>
      </c>
      <c r="G229">
        <f>F229-E229</f>
      </c>
      <c r="H229" t="str">
        <v/>
      </c>
    </row>
    <row r="230">
      <c r="A230" t="str">
        <v>CP0300002</v>
      </c>
      <c r="B230" t="str">
        <v>CP QUESABROSO</v>
      </c>
      <c r="C230" t="str">
        <v>Platos Sub-Recetas</v>
      </c>
      <c r="D230" t="str">
        <v>UNIDAD</v>
      </c>
      <c r="E230">
        <v>9</v>
      </c>
      <c r="F230" t="str">
        <v/>
      </c>
      <c r="G230">
        <f>F230-E230</f>
      </c>
      <c r="H230" t="str">
        <v/>
      </c>
    </row>
    <row r="231">
      <c r="A231" t="str">
        <v>CP0300003</v>
      </c>
      <c r="B231" t="str">
        <v>CP QUESADILLA</v>
      </c>
      <c r="C231" t="str">
        <v>Platos Sub-Recetas</v>
      </c>
      <c r="D231" t="str">
        <v>UNIDAD</v>
      </c>
      <c r="E231">
        <v>6</v>
      </c>
      <c r="F231" t="str">
        <v/>
      </c>
      <c r="G231">
        <f>F231-E231</f>
      </c>
      <c r="H231" t="str">
        <v/>
      </c>
    </row>
    <row r="232">
      <c r="A232" t="str">
        <v>CP0200006</v>
      </c>
      <c r="B232" t="str">
        <v>CP SALSA AJO PARMESANO</v>
      </c>
      <c r="C232" t="str">
        <v>Platos Sub-Recetas</v>
      </c>
      <c r="D232" t="str">
        <v>GALON</v>
      </c>
      <c r="E232">
        <v>1.625072</v>
      </c>
      <c r="F232" t="str">
        <v/>
      </c>
      <c r="G232">
        <f>F232-E232</f>
      </c>
      <c r="H232" t="str">
        <v/>
      </c>
    </row>
    <row r="233">
      <c r="A233" t="str">
        <v>CP0200003</v>
      </c>
      <c r="B233" t="str">
        <v>CP SALSA BBQ</v>
      </c>
      <c r="C233" t="str">
        <v>Platos Sub-Recetas</v>
      </c>
      <c r="D233" t="str">
        <v>GALON</v>
      </c>
      <c r="E233">
        <v>0.437664</v>
      </c>
      <c r="F233" t="str">
        <v/>
      </c>
      <c r="G233">
        <f>F233-E233</f>
      </c>
      <c r="H233" t="str">
        <v/>
      </c>
    </row>
    <row r="234">
      <c r="A234" t="str">
        <v>CP0200004</v>
      </c>
      <c r="B234" t="str">
        <v>CP SALSA BUFALO</v>
      </c>
      <c r="C234" t="str">
        <v>Platos Sub-Recetas</v>
      </c>
      <c r="D234" t="str">
        <v>GALON</v>
      </c>
      <c r="E234">
        <v>1.187696</v>
      </c>
      <c r="F234" t="str">
        <v/>
      </c>
      <c r="G234">
        <f>F234-E234</f>
      </c>
      <c r="H234" t="str">
        <v/>
      </c>
    </row>
    <row r="235">
      <c r="A235" t="str">
        <v>CP0200015</v>
      </c>
      <c r="B235" t="str">
        <v>CP SALSA PESTO</v>
      </c>
      <c r="C235" t="str">
        <v>Platos Sub-Recetas</v>
      </c>
      <c r="D235" t="str">
        <v>GALON</v>
      </c>
      <c r="E235">
        <v>1.605574</v>
      </c>
      <c r="F235" t="str">
        <v/>
      </c>
      <c r="G235">
        <f>F235-E235</f>
      </c>
      <c r="H235" t="str">
        <v/>
      </c>
    </row>
    <row r="236">
      <c r="A236" t="str">
        <v>CP0200010</v>
      </c>
      <c r="B236" t="str">
        <v>CP SALSA PIZZA</v>
      </c>
      <c r="C236" t="str">
        <v>Platos Sub-Recetas</v>
      </c>
      <c r="D236" t="str">
        <v>GALON</v>
      </c>
      <c r="E236">
        <v>1.031776</v>
      </c>
      <c r="F236" t="str">
        <v/>
      </c>
      <c r="G236">
        <f>F236-E236</f>
      </c>
      <c r="H236" t="str">
        <v/>
      </c>
    </row>
    <row r="237">
      <c r="A237" t="str">
        <v>CP0200014</v>
      </c>
      <c r="B237" t="str">
        <v>CP SALSA RANCH</v>
      </c>
      <c r="C237" t="str">
        <v>Platos Sub-Recetas</v>
      </c>
      <c r="D237" t="str">
        <v>GALON</v>
      </c>
      <c r="E237">
        <v>1.148924</v>
      </c>
      <c r="F237" t="str">
        <v/>
      </c>
      <c r="G237">
        <f>F237-E237</f>
      </c>
      <c r="H237" t="str">
        <v/>
      </c>
    </row>
    <row r="238">
      <c r="A238" t="str">
        <v>CP0200018</v>
      </c>
      <c r="B238" t="str">
        <v>CP SALSA TORONJA</v>
      </c>
      <c r="C238" t="str">
        <v>Platos Sub-Recetas</v>
      </c>
      <c r="D238" t="str">
        <v>GALON</v>
      </c>
      <c r="E238">
        <v>2.1252</v>
      </c>
      <c r="F238" t="str">
        <v/>
      </c>
      <c r="G238">
        <f>F238-E238</f>
      </c>
      <c r="H238" t="str">
        <v/>
      </c>
    </row>
    <row r="239">
      <c r="A239" t="str">
        <v>CP0101010</v>
      </c>
      <c r="B239" t="str">
        <v>CP SAZON CADEJO</v>
      </c>
      <c r="C239" t="str">
        <v>Platos Sub-Recetas</v>
      </c>
      <c r="D239" t="str">
        <v>LIBRA</v>
      </c>
      <c r="E239">
        <v>9.877694</v>
      </c>
      <c r="F239" t="str">
        <v/>
      </c>
      <c r="G239">
        <f>F239-E239</f>
      </c>
      <c r="H239" t="str">
        <v/>
      </c>
    </row>
    <row r="240">
      <c r="A240" t="str">
        <v>PR0101003</v>
      </c>
      <c r="B240" t="str">
        <v>MASA PIZZA RECETA</v>
      </c>
      <c r="C240" t="str">
        <v>Platos Sub-Recetas</v>
      </c>
      <c r="D240" t="str">
        <v>ONZAS</v>
      </c>
      <c r="E240">
        <v>545</v>
      </c>
      <c r="F240" t="str">
        <v/>
      </c>
      <c r="G240">
        <f>F240-E240</f>
      </c>
      <c r="H240" t="str">
        <v/>
      </c>
    </row>
    <row r="241">
      <c r="A241" t="str">
        <v>PM0501006</v>
      </c>
      <c r="B241" t="str">
        <v>DESTAPADOR TIPO BLADE PLANO</v>
      </c>
      <c r="C241" t="str">
        <v>Promocionales Accesorios</v>
      </c>
      <c r="D241" t="str">
        <v>UNIDAD</v>
      </c>
      <c r="E241">
        <v>13</v>
      </c>
      <c r="F241" t="str">
        <v/>
      </c>
      <c r="G241">
        <f>F241-E241</f>
      </c>
      <c r="H241" t="str">
        <v/>
      </c>
    </row>
    <row r="242">
      <c r="A242" t="str">
        <v>PM0501007</v>
      </c>
      <c r="B242" t="str">
        <v>DESTAPADOR TIPO PUSH BOTELLA</v>
      </c>
      <c r="C242" t="str">
        <v>Promocionales Accesorios</v>
      </c>
      <c r="D242" t="str">
        <v>UNIDAD</v>
      </c>
      <c r="E242">
        <v>5</v>
      </c>
      <c r="F242" t="str">
        <v/>
      </c>
      <c r="G242">
        <f>F242-E242</f>
      </c>
      <c r="H242" t="str">
        <v/>
      </c>
    </row>
    <row r="243">
      <c r="A243" t="str">
        <v>PM0104034</v>
      </c>
      <c r="B243" t="str">
        <v>GORRA BASEBALL MORADA</v>
      </c>
      <c r="C243" t="str">
        <v>Promocionales Accesorios</v>
      </c>
      <c r="D243" t="str">
        <v>UNIDAD</v>
      </c>
      <c r="E243">
        <v>7</v>
      </c>
      <c r="F243" t="str">
        <v/>
      </c>
      <c r="G243">
        <f>F243-E243</f>
      </c>
      <c r="H243" t="str">
        <v/>
      </c>
    </row>
    <row r="244">
      <c r="A244" t="str">
        <v>PM0104035</v>
      </c>
      <c r="B244" t="str">
        <v>GORRA BASEBALL OLIVO</v>
      </c>
      <c r="C244" t="str">
        <v>Promocionales Accesorios</v>
      </c>
      <c r="D244" t="str">
        <v>UNIDAD</v>
      </c>
      <c r="E244">
        <v>1</v>
      </c>
      <c r="F244" t="str">
        <v/>
      </c>
      <c r="G244">
        <f>F244-E244</f>
      </c>
      <c r="H244" t="str">
        <v/>
      </c>
    </row>
    <row r="245">
      <c r="A245" t="str">
        <v>PM0104038</v>
      </c>
      <c r="B245" t="str">
        <v>GORRA HIGH GRAVITY</v>
      </c>
      <c r="C245" t="str">
        <v>Promocionales Accesorios</v>
      </c>
      <c r="D245" t="str">
        <v>UNIDAD</v>
      </c>
      <c r="E245">
        <v>3</v>
      </c>
      <c r="F245" t="str">
        <v/>
      </c>
      <c r="G245">
        <f>F245-E245</f>
      </c>
      <c r="H245" t="str">
        <v/>
      </c>
    </row>
    <row r="246">
      <c r="A246" t="str">
        <v>PM0104037</v>
      </c>
      <c r="B246" t="str">
        <v>GORRA NEGRA LOGO BLANCO</v>
      </c>
      <c r="C246" t="str">
        <v>Promocionales Accesorios</v>
      </c>
      <c r="D246" t="str">
        <v>UNIDAD</v>
      </c>
      <c r="E246">
        <v>1</v>
      </c>
      <c r="F246" t="str">
        <v/>
      </c>
      <c r="G246">
        <f>F246-E246</f>
      </c>
      <c r="H246" t="str">
        <v/>
      </c>
    </row>
    <row r="247">
      <c r="A247" t="str">
        <v>PM0104039</v>
      </c>
      <c r="B247" t="str">
        <v>GORRA TRUCKER AZUL</v>
      </c>
      <c r="C247" t="str">
        <v>Promocionales Accesorios</v>
      </c>
      <c r="D247" t="str">
        <v>UNIDAD</v>
      </c>
      <c r="E247">
        <v>8</v>
      </c>
      <c r="F247" t="str">
        <v/>
      </c>
      <c r="G247">
        <f>F247-E247</f>
      </c>
      <c r="H247" t="str">
        <v/>
      </c>
    </row>
    <row r="248">
      <c r="A248" t="str">
        <v>PM0104041</v>
      </c>
      <c r="B248" t="str">
        <v>GORRA TRUCKER ROJA</v>
      </c>
      <c r="C248" t="str">
        <v>Promocionales Accesorios</v>
      </c>
      <c r="D248" t="str">
        <v>UNIDAD</v>
      </c>
      <c r="E248">
        <v>13</v>
      </c>
      <c r="F248" t="str">
        <v/>
      </c>
      <c r="G248">
        <f>F248-E248</f>
      </c>
      <c r="H248" t="str">
        <v/>
      </c>
    </row>
    <row r="249">
      <c r="A249" t="str">
        <v>PM0104042</v>
      </c>
      <c r="B249" t="str">
        <v>GORRA TRUCKER ROSADA</v>
      </c>
      <c r="C249" t="str">
        <v>Promocionales Accesorios</v>
      </c>
      <c r="D249" t="str">
        <v>UNIDAD</v>
      </c>
      <c r="E249">
        <v>2</v>
      </c>
      <c r="F249" t="str">
        <v/>
      </c>
      <c r="G249">
        <f>F249-E249</f>
      </c>
      <c r="H249" t="str">
        <v/>
      </c>
    </row>
    <row r="250">
      <c r="A250" t="str">
        <v>PM0501002</v>
      </c>
      <c r="B250" t="str">
        <v>LANYARD PARA CARNET</v>
      </c>
      <c r="C250" t="str">
        <v>Promocionales Accesorios</v>
      </c>
      <c r="D250" t="str">
        <v>UNIDAD</v>
      </c>
      <c r="E250">
        <v>8</v>
      </c>
      <c r="F250" t="str">
        <v/>
      </c>
      <c r="G250">
        <f>F250-E250</f>
      </c>
      <c r="H250" t="str">
        <v/>
      </c>
    </row>
    <row r="251">
      <c r="A251" t="str">
        <v>PM03260400</v>
      </c>
      <c r="B251" t="str">
        <v>PAQUETE STICKER VARIOS 5U</v>
      </c>
      <c r="C251" t="str">
        <v>Promocionales Accesorios</v>
      </c>
      <c r="D251" t="str">
        <v>PAQUETE</v>
      </c>
      <c r="E251">
        <v>28</v>
      </c>
      <c r="F251" t="str">
        <v/>
      </c>
      <c r="G251">
        <f>F251-E251</f>
      </c>
      <c r="H251" t="str">
        <v/>
      </c>
    </row>
    <row r="252">
      <c r="A252" t="str">
        <v>PM03260301</v>
      </c>
      <c r="B252" t="str">
        <v>PELOTA FUTBOL MUNDIAL</v>
      </c>
      <c r="C252" t="str">
        <v>Promocionales Accesorios</v>
      </c>
      <c r="D252" t="str">
        <v>UNIDAD</v>
      </c>
      <c r="E252">
        <v>15</v>
      </c>
      <c r="F252" t="str">
        <v/>
      </c>
      <c r="G252">
        <f>F252-E252</f>
      </c>
      <c r="H252" t="str">
        <v/>
      </c>
    </row>
    <row r="253">
      <c r="A253" t="str">
        <v>PM0203002</v>
      </c>
      <c r="B253" t="str">
        <v>POSA VASO CARTON INDIVIDUAL</v>
      </c>
      <c r="C253" t="str">
        <v>Promocionales Accesorios</v>
      </c>
      <c r="D253" t="str">
        <v>UNIDAD</v>
      </c>
      <c r="E253">
        <v>40</v>
      </c>
      <c r="F253" t="str">
        <v/>
      </c>
      <c r="G253">
        <f>F253-E253</f>
      </c>
      <c r="H253" t="str">
        <v/>
      </c>
    </row>
    <row r="254">
      <c r="A254" t="str">
        <v>PM03260501</v>
      </c>
      <c r="B254" t="str">
        <v>POSTALES CADEJO</v>
      </c>
      <c r="C254" t="str">
        <v>Promocionales Accesorios</v>
      </c>
      <c r="D254" t="str">
        <v>UNIDAD</v>
      </c>
      <c r="E254">
        <v>93</v>
      </c>
      <c r="F254" t="str">
        <v/>
      </c>
      <c r="G254">
        <f>F254-E254</f>
      </c>
      <c r="H254" t="str">
        <v/>
      </c>
    </row>
    <row r="255">
      <c r="A255" t="str">
        <v>PM0501074</v>
      </c>
      <c r="B255" t="str">
        <v>STICKER CADEJO</v>
      </c>
      <c r="C255" t="str">
        <v>Promocionales Accesorios</v>
      </c>
      <c r="D255" t="str">
        <v>UNIDAD</v>
      </c>
      <c r="E255">
        <v>1</v>
      </c>
      <c r="F255" t="str">
        <v/>
      </c>
      <c r="G255">
        <f>F255-E255</f>
      </c>
      <c r="H255" t="str">
        <v/>
      </c>
    </row>
    <row r="256">
      <c r="A256" t="str">
        <v>PM0501087</v>
      </c>
      <c r="B256" t="str">
        <v>STICKER VARIOS CADEJO</v>
      </c>
      <c r="C256" t="str">
        <v>Promocionales Accesorios</v>
      </c>
      <c r="D256" t="str">
        <v>UNIDAD</v>
      </c>
      <c r="E256">
        <v>16</v>
      </c>
      <c r="F256" t="str">
        <v/>
      </c>
      <c r="G256">
        <f>F256-E256</f>
      </c>
      <c r="H256" t="str">
        <v/>
      </c>
    </row>
    <row r="257">
      <c r="A257" t="str">
        <v>PM01251208</v>
      </c>
      <c r="B257" t="str">
        <v>CAMISA BEST CRAFTBEER T-L</v>
      </c>
      <c r="C257" t="str">
        <v>Promocionales Ropa y Calzado</v>
      </c>
      <c r="D257" t="str">
        <v>UNIDAD</v>
      </c>
      <c r="E257">
        <v>2</v>
      </c>
      <c r="F257" t="str">
        <v/>
      </c>
      <c r="G257">
        <f>F257-E257</f>
      </c>
      <c r="H257" t="str">
        <v/>
      </c>
    </row>
    <row r="258">
      <c r="A258" t="str">
        <v>PM01251207</v>
      </c>
      <c r="B258" t="str">
        <v>CAMISA BEST CRAFTBEER T-M</v>
      </c>
      <c r="C258" t="str">
        <v>Promocionales Ropa y Calzado</v>
      </c>
      <c r="D258" t="str">
        <v>UNIDAD</v>
      </c>
      <c r="E258">
        <v>2</v>
      </c>
      <c r="F258" t="str">
        <v/>
      </c>
      <c r="G258">
        <f>F258-E258</f>
      </c>
      <c r="H258" t="str">
        <v/>
      </c>
    </row>
    <row r="259">
      <c r="A259" t="str">
        <v>PM01251209</v>
      </c>
      <c r="B259" t="str">
        <v>CAMISA BEST CRAFTBEER T-XL</v>
      </c>
      <c r="C259" t="str">
        <v>Promocionales Ropa y Calzado</v>
      </c>
      <c r="D259" t="str">
        <v>UNIDAD</v>
      </c>
      <c r="E259">
        <v>1</v>
      </c>
      <c r="F259" t="str">
        <v/>
      </c>
      <c r="G259">
        <f>F259-E259</f>
      </c>
      <c r="H259" t="str">
        <v/>
      </c>
    </row>
    <row r="260">
      <c r="A260" t="str">
        <v>PM01250902</v>
      </c>
      <c r="B260" t="str">
        <v>CAMISA ESCUDO T-M</v>
      </c>
      <c r="C260" t="str">
        <v>Promocionales Ropa y Calzado</v>
      </c>
      <c r="D260" t="str">
        <v>UNIDAD</v>
      </c>
      <c r="E260">
        <v>1</v>
      </c>
      <c r="F260" t="str">
        <v/>
      </c>
      <c r="G260">
        <f>F260-E260</f>
      </c>
      <c r="H260" t="str">
        <v/>
      </c>
    </row>
    <row r="261">
      <c r="A261" t="str">
        <v>PM0101323</v>
      </c>
      <c r="B261" t="str">
        <v>CAMISA HOMBRE BARBA DE LUPULO T-S</v>
      </c>
      <c r="C261" t="str">
        <v>Promocionales Ropa y Calzado</v>
      </c>
      <c r="D261" t="str">
        <v>UNIDAD</v>
      </c>
      <c r="E261">
        <v>8</v>
      </c>
      <c r="F261" t="str">
        <v/>
      </c>
      <c r="G261">
        <f>F261-E261</f>
      </c>
      <c r="H261" t="str">
        <v/>
      </c>
    </row>
    <row r="262">
      <c r="A262" t="str">
        <v>PM0101045</v>
      </c>
      <c r="B262" t="str">
        <v>CAMISA HOMBRE LOGO CADEJO T-S</v>
      </c>
      <c r="C262" t="str">
        <v>Promocionales Ropa y Calzado</v>
      </c>
      <c r="D262" t="str">
        <v>UNIDAD</v>
      </c>
      <c r="E262">
        <v>2</v>
      </c>
      <c r="F262" t="str">
        <v/>
      </c>
      <c r="G262">
        <f>F262-E262</f>
      </c>
      <c r="H262" t="str">
        <v/>
      </c>
    </row>
    <row r="263">
      <c r="A263" t="str">
        <v>PM0101053</v>
      </c>
      <c r="B263" t="str">
        <v>CAMISA HOMBRE LOGO CADEJO T-XXL</v>
      </c>
      <c r="C263" t="str">
        <v>Promocionales Ropa y Calzado</v>
      </c>
      <c r="D263" t="str">
        <v>UNIDAD</v>
      </c>
      <c r="E263">
        <v>2</v>
      </c>
      <c r="F263" t="str">
        <v/>
      </c>
      <c r="G263">
        <f>F263-E263</f>
      </c>
      <c r="H263" t="str">
        <v/>
      </c>
    </row>
    <row r="264">
      <c r="A264" t="str">
        <v>PM0101512</v>
      </c>
      <c r="B264" t="str">
        <v>CAMISA LEYENDA HECHA CERVEZA T-M</v>
      </c>
      <c r="C264" t="str">
        <v>Promocionales Ropa y Calzado</v>
      </c>
      <c r="D264" t="str">
        <v>UNIDAD</v>
      </c>
      <c r="E264">
        <v>1</v>
      </c>
      <c r="F264" t="str">
        <v/>
      </c>
      <c r="G264">
        <f>F264-E264</f>
      </c>
      <c r="H264" t="str">
        <v/>
      </c>
    </row>
    <row r="265">
      <c r="A265" t="str">
        <v>PM0101511</v>
      </c>
      <c r="B265" t="str">
        <v>CAMISA LEYENDA HECHA CERVEZA T-S</v>
      </c>
      <c r="C265" t="str">
        <v>Promocionales Ropa y Calzado</v>
      </c>
      <c r="D265" t="str">
        <v>UNIDAD</v>
      </c>
      <c r="E265">
        <v>3</v>
      </c>
      <c r="F265" t="str">
        <v/>
      </c>
      <c r="G265">
        <f>F265-E265</f>
      </c>
      <c r="H265" t="str">
        <v/>
      </c>
    </row>
    <row r="266">
      <c r="A266" t="str">
        <v>PM0101514</v>
      </c>
      <c r="B266" t="str">
        <v>CAMISA LEYENDA HECHA CERVEZA T-XL</v>
      </c>
      <c r="C266" t="str">
        <v>Promocionales Ropa y Calzado</v>
      </c>
      <c r="D266" t="str">
        <v>UNIDAD</v>
      </c>
      <c r="E266">
        <v>3</v>
      </c>
      <c r="F266" t="str">
        <v/>
      </c>
      <c r="G266">
        <f>F266-E266</f>
      </c>
      <c r="H266" t="str">
        <v/>
      </c>
    </row>
    <row r="267">
      <c r="A267" t="str">
        <v>PM0101515</v>
      </c>
      <c r="B267" t="str">
        <v>CAMISA LEYENDA HECHA CERVEZA T-XXL</v>
      </c>
      <c r="C267" t="str">
        <v>Promocionales Ropa y Calzado</v>
      </c>
      <c r="D267" t="str">
        <v>UNIDAD</v>
      </c>
      <c r="E267">
        <v>1</v>
      </c>
      <c r="F267" t="str">
        <v/>
      </c>
      <c r="G267">
        <f>F267-E267</f>
      </c>
      <c r="H267" t="str">
        <v/>
      </c>
    </row>
    <row r="268">
      <c r="A268" t="str">
        <v>PM0101430</v>
      </c>
      <c r="B268" t="str">
        <v>CAMISA LUPULO HOMBRES T-L</v>
      </c>
      <c r="C268" t="str">
        <v>Promocionales Ropa y Calzado</v>
      </c>
      <c r="D268" t="str">
        <v>UNIDAD</v>
      </c>
      <c r="E268">
        <v>1</v>
      </c>
      <c r="F268" t="str">
        <v/>
      </c>
      <c r="G268">
        <f>F268-E268</f>
      </c>
      <c r="H268" t="str">
        <v/>
      </c>
    </row>
    <row r="269">
      <c r="A269" t="str">
        <v>PM0101428</v>
      </c>
      <c r="B269" t="str">
        <v>CAMISA LUPULO HOMBRES T-S</v>
      </c>
      <c r="C269" t="str">
        <v>Promocionales Ropa y Calzado</v>
      </c>
      <c r="D269" t="str">
        <v>UNIDAD</v>
      </c>
      <c r="E269">
        <v>4</v>
      </c>
      <c r="F269" t="str">
        <v/>
      </c>
      <c r="G269">
        <f>F269-E269</f>
      </c>
      <c r="H269" t="str">
        <v/>
      </c>
    </row>
    <row r="270">
      <c r="A270" t="str">
        <v>PM01251203</v>
      </c>
      <c r="B270" t="str">
        <v>CAMISA NAVE E BIRRIA T-L</v>
      </c>
      <c r="C270" t="str">
        <v>Promocionales Ropa y Calzado</v>
      </c>
      <c r="D270" t="str">
        <v>UNIDAD</v>
      </c>
      <c r="E270">
        <v>1</v>
      </c>
      <c r="F270" t="str">
        <v/>
      </c>
      <c r="G270">
        <f>F270-E270</f>
      </c>
      <c r="H270" t="str">
        <v/>
      </c>
    </row>
    <row r="271">
      <c r="A271" t="str">
        <v>PM01251202</v>
      </c>
      <c r="B271" t="str">
        <v>CAMISA NAVE E BIRRIA T-M</v>
      </c>
      <c r="C271" t="str">
        <v>Promocionales Ropa y Calzado</v>
      </c>
      <c r="D271" t="str">
        <v>UNIDAD</v>
      </c>
      <c r="E271">
        <v>3</v>
      </c>
      <c r="F271" t="str">
        <v/>
      </c>
      <c r="G271">
        <f>F271-E271</f>
      </c>
      <c r="H271" t="str">
        <v/>
      </c>
    </row>
    <row r="272">
      <c r="A272" t="str">
        <v>PM01251201</v>
      </c>
      <c r="B272" t="str">
        <v>CAMISA NAVE E BIRRIA T-S</v>
      </c>
      <c r="C272" t="str">
        <v>Promocionales Ropa y Calzado</v>
      </c>
      <c r="D272" t="str">
        <v>UNIDAD</v>
      </c>
      <c r="E272">
        <v>1</v>
      </c>
      <c r="F272" t="str">
        <v/>
      </c>
      <c r="G272">
        <f>F272-E272</f>
      </c>
      <c r="H272" t="str">
        <v/>
      </c>
    </row>
    <row r="273">
      <c r="A273" t="str">
        <v>PM01251205</v>
      </c>
      <c r="B273" t="str">
        <v>CAMISA NAVE E BIRRIA T-XXL</v>
      </c>
      <c r="C273" t="str">
        <v>Promocionales Ropa y Calzado</v>
      </c>
      <c r="D273" t="str">
        <v>UNIDAD</v>
      </c>
      <c r="E273">
        <v>4</v>
      </c>
      <c r="F273" t="str">
        <v/>
      </c>
      <c r="G273">
        <f>F273-E273</f>
      </c>
      <c r="H273" t="str">
        <v/>
      </c>
    </row>
    <row r="274">
      <c r="A274" t="str">
        <v>PM0101462</v>
      </c>
      <c r="B274" t="str">
        <v>CAMISA PATE CHUCHO T-L</v>
      </c>
      <c r="C274" t="str">
        <v>Promocionales Ropa y Calzado</v>
      </c>
      <c r="D274" t="str">
        <v>UNIDAD</v>
      </c>
      <c r="E274">
        <v>1</v>
      </c>
      <c r="F274" t="str">
        <v/>
      </c>
      <c r="G274">
        <f>F274-E274</f>
      </c>
      <c r="H274" t="str">
        <v/>
      </c>
    </row>
    <row r="275">
      <c r="A275" t="str">
        <v>PM0101461</v>
      </c>
      <c r="B275" t="str">
        <v>CAMISA PATE CHUCHO T-M</v>
      </c>
      <c r="C275" t="str">
        <v>Promocionales Ropa y Calzado</v>
      </c>
      <c r="D275" t="str">
        <v>UNIDAD</v>
      </c>
      <c r="E275">
        <v>1</v>
      </c>
      <c r="F275" t="str">
        <v/>
      </c>
      <c r="G275">
        <f>F275-E275</f>
      </c>
      <c r="H275" t="str">
        <v/>
      </c>
    </row>
    <row r="276">
      <c r="A276" t="str">
        <v>PM0101467</v>
      </c>
      <c r="B276" t="str">
        <v>CAMISA SURF Y BIRRIA T-L</v>
      </c>
      <c r="C276" t="str">
        <v>Promocionales Ropa y Calzado</v>
      </c>
      <c r="D276" t="str">
        <v>UNIDAD</v>
      </c>
      <c r="E276">
        <v>1</v>
      </c>
      <c r="F276" t="str">
        <v/>
      </c>
      <c r="G276">
        <f>F276-E276</f>
      </c>
      <c r="H276" t="str">
        <v/>
      </c>
    </row>
    <row r="277">
      <c r="A277" t="str">
        <v>PM0101466</v>
      </c>
      <c r="B277" t="str">
        <v>CAMISA SURF Y BIRRIA T-M</v>
      </c>
      <c r="C277" t="str">
        <v>Promocionales Ropa y Calzado</v>
      </c>
      <c r="D277" t="str">
        <v>UNIDAD</v>
      </c>
      <c r="E277">
        <v>1</v>
      </c>
      <c r="F277" t="str">
        <v/>
      </c>
      <c r="G277">
        <f>F277-E277</f>
      </c>
      <c r="H277" t="str">
        <v/>
      </c>
    </row>
    <row r="278">
      <c r="A278" t="str">
        <v>PM01251213</v>
      </c>
      <c r="B278" t="str">
        <v>CAMISA VASO COOL T-L</v>
      </c>
      <c r="C278" t="str">
        <v>Promocionales Ropa y Calzado</v>
      </c>
      <c r="D278" t="str">
        <v>UNIDAD</v>
      </c>
      <c r="E278">
        <v>4</v>
      </c>
      <c r="F278" t="str">
        <v/>
      </c>
      <c r="G278">
        <f>F278-E278</f>
      </c>
      <c r="H278" t="str">
        <v/>
      </c>
    </row>
    <row r="279">
      <c r="A279" t="str">
        <v>PM01251212</v>
      </c>
      <c r="B279" t="str">
        <v>CAMISA VASO COOL T-M</v>
      </c>
      <c r="C279" t="str">
        <v>Promocionales Ropa y Calzado</v>
      </c>
      <c r="D279" t="str">
        <v>UNIDAD</v>
      </c>
      <c r="E279">
        <v>6</v>
      </c>
      <c r="F279" t="str">
        <v/>
      </c>
      <c r="G279">
        <f>F279-E279</f>
      </c>
      <c r="H279" t="str">
        <v/>
      </c>
    </row>
    <row r="280">
      <c r="A280" t="str">
        <v>PM01251211</v>
      </c>
      <c r="B280" t="str">
        <v>CAMISA VASO COOL T-S</v>
      </c>
      <c r="C280" t="str">
        <v>Promocionales Ropa y Calzado</v>
      </c>
      <c r="D280" t="str">
        <v>UNIDAD</v>
      </c>
      <c r="E280">
        <v>3</v>
      </c>
      <c r="F280" t="str">
        <v/>
      </c>
      <c r="G280">
        <f>F280-E280</f>
      </c>
      <c r="H280" t="str">
        <v/>
      </c>
    </row>
    <row r="281">
      <c r="A281" t="str">
        <v>PM01251214</v>
      </c>
      <c r="B281" t="str">
        <v>CAMISA VASO COOL T-XL</v>
      </c>
      <c r="C281" t="str">
        <v>Promocionales Ropa y Calzado</v>
      </c>
      <c r="D281" t="str">
        <v>UNIDAD</v>
      </c>
      <c r="E281">
        <v>3</v>
      </c>
      <c r="F281" t="str">
        <v/>
      </c>
      <c r="G281">
        <f>F281-E281</f>
      </c>
      <c r="H281" t="str">
        <v/>
      </c>
    </row>
    <row r="282">
      <c r="A282" t="str">
        <v>PM01251215</v>
      </c>
      <c r="B282" t="str">
        <v>CAMISA VASO COOL T-XXL</v>
      </c>
      <c r="C282" t="str">
        <v>Promocionales Ropa y Calzado</v>
      </c>
      <c r="D282" t="str">
        <v>UNIDAD</v>
      </c>
      <c r="E282">
        <v>3</v>
      </c>
      <c r="F282" t="str">
        <v/>
      </c>
      <c r="G282">
        <f>F282-E282</f>
      </c>
      <c r="H282" t="str">
        <v/>
      </c>
    </row>
    <row r="283">
      <c r="A283" t="str">
        <v>MP0601015</v>
      </c>
      <c r="B283" t="str">
        <v>FINDINOX LIQUIDO</v>
      </c>
      <c r="C283" t="str">
        <v>Quimicos y Otros</v>
      </c>
      <c r="D283" t="str">
        <v>UNIDAD</v>
      </c>
      <c r="E283">
        <v>1</v>
      </c>
      <c r="F283" t="str">
        <v/>
      </c>
      <c r="G283">
        <f>F283-E283</f>
      </c>
      <c r="H283" t="str">
        <v/>
      </c>
    </row>
    <row r="284">
      <c r="A284" t="str">
        <v>PT0102070</v>
      </c>
      <c r="B284" t="str">
        <v>AGUA FRESKA FRESA SANDIA BOT. 330 ML</v>
      </c>
      <c r="C284" t="str">
        <v>Soda Artesanal</v>
      </c>
      <c r="D284" t="str">
        <v>UNIDAD</v>
      </c>
      <c r="E284">
        <v>60</v>
      </c>
      <c r="F284" t="str">
        <v/>
      </c>
      <c r="G284">
        <f>F284-E284</f>
      </c>
      <c r="H284" t="str">
        <v/>
      </c>
    </row>
    <row r="285">
      <c r="A285" t="str">
        <v>PT0102072</v>
      </c>
      <c r="B285" t="str">
        <v>AGUA FRESKA MANGO MARACUYA BOT. 330 ML</v>
      </c>
      <c r="C285" t="str">
        <v>Soda Artesanal</v>
      </c>
      <c r="D285" t="str">
        <v>UNIDAD</v>
      </c>
      <c r="E285">
        <v>59</v>
      </c>
      <c r="F285" t="str">
        <v/>
      </c>
      <c r="G285">
        <f>F285-E285</f>
      </c>
      <c r="H285" t="str">
        <v/>
      </c>
    </row>
    <row r="286">
      <c r="A286" t="str">
        <v>PT0102071</v>
      </c>
      <c r="B286" t="str">
        <v>AGUA FRESKA TAMARINDO BOT. 330 ML</v>
      </c>
      <c r="C286" t="str">
        <v>Soda Artesanal</v>
      </c>
      <c r="D286" t="str">
        <v>UNIDAD</v>
      </c>
      <c r="E286">
        <v>34</v>
      </c>
      <c r="F286" t="str">
        <v/>
      </c>
      <c r="G286">
        <f>F286-E286</f>
      </c>
      <c r="H286" t="str">
        <v/>
      </c>
    </row>
    <row r="287">
      <c r="A287" t="str">
        <v>PT0801068</v>
      </c>
      <c r="B287" t="str">
        <v>SODA DRAFT FRESA SANDIA</v>
      </c>
      <c r="C287" t="str">
        <v>Soda Artesanal</v>
      </c>
      <c r="D287" t="str">
        <v>ONZAS</v>
      </c>
      <c r="E287">
        <v>2863.8352</v>
      </c>
      <c r="F287" t="str">
        <v/>
      </c>
      <c r="G287">
        <f>F287-E287</f>
      </c>
      <c r="H287" t="str">
        <v/>
      </c>
    </row>
    <row r="288">
      <c r="A288" t="str">
        <v>PT0815018</v>
      </c>
      <c r="B288" t="str">
        <v>SODA DRAFT MANGO MARACUYA</v>
      </c>
      <c r="C288" t="str">
        <v>Soda Artesanal</v>
      </c>
      <c r="D288" t="str">
        <v>ONZAS</v>
      </c>
      <c r="E288">
        <v>1974.74875</v>
      </c>
      <c r="F288" t="str">
        <v/>
      </c>
      <c r="G288">
        <f>F288-E288</f>
      </c>
      <c r="H288" t="str">
        <v/>
      </c>
    </row>
    <row r="289">
      <c r="A289" t="str">
        <v>PT0801069</v>
      </c>
      <c r="B289" t="str">
        <v>SODA DRAFT TAMARINDO</v>
      </c>
      <c r="C289" t="str">
        <v>Soda Artesanal</v>
      </c>
      <c r="D289" t="str">
        <v>ONZAS</v>
      </c>
      <c r="E289">
        <v>2443.6215</v>
      </c>
      <c r="F289" t="str">
        <v/>
      </c>
      <c r="G289">
        <f>F289-E289</f>
      </c>
      <c r="H289" t="str">
        <v/>
      </c>
    </row>
    <row r="290">
      <c r="A290" t="str">
        <v>GT0101086</v>
      </c>
      <c r="B290" t="str">
        <v>FIBRA SCOTCH BRITE CERO RAYAS AZUL 2000</v>
      </c>
      <c r="C290" t="str">
        <v>Utensilios de cocina</v>
      </c>
      <c r="D290" t="str">
        <v>UNIDAD</v>
      </c>
      <c r="E290">
        <v>5</v>
      </c>
      <c r="F290" t="str">
        <v/>
      </c>
      <c r="G290">
        <f>F290-E290</f>
      </c>
      <c r="H290" t="str">
        <v/>
      </c>
    </row>
    <row r="291">
      <c r="A291" t="str">
        <v>GT0101089</v>
      </c>
      <c r="B291" t="str">
        <v>FIBRA SCOTCH BRITE MULTIPROPÓSITO VERDE P96-12</v>
      </c>
      <c r="C291" t="str">
        <v>Utensilios de cocina</v>
      </c>
      <c r="D291" t="str">
        <v>UNIDAD</v>
      </c>
      <c r="E291">
        <v>2</v>
      </c>
      <c r="F291" t="str">
        <v/>
      </c>
      <c r="G291">
        <f>F291-E291</f>
      </c>
      <c r="H291" t="str">
        <v/>
      </c>
    </row>
    <row r="292">
      <c r="A292" t="str">
        <v>GT0101088</v>
      </c>
      <c r="B292" t="str">
        <v>FIBRA SCOTCH BRITE PARA PARRILLA P76-1</v>
      </c>
      <c r="C292" t="str">
        <v>Utensilios de cocina</v>
      </c>
      <c r="D292" t="str">
        <v>UNIDAD</v>
      </c>
      <c r="E292">
        <v>12</v>
      </c>
      <c r="F292" t="str">
        <v/>
      </c>
      <c r="G292">
        <f>F292-E292</f>
      </c>
      <c r="H292" t="str">
        <v/>
      </c>
    </row>
    <row r="293">
      <c r="A293" t="str">
        <v>MR1403019</v>
      </c>
      <c r="B293" t="str">
        <v>WYPALL AMARILLO</v>
      </c>
      <c r="C293" t="str">
        <v>Utensilios de cocina</v>
      </c>
      <c r="D293" t="str">
        <v>PAQUETE</v>
      </c>
      <c r="E293">
        <v>5</v>
      </c>
      <c r="F293" t="str">
        <v/>
      </c>
      <c r="G293">
        <f>F293-E293</f>
      </c>
      <c r="H293" t="str">
        <v/>
      </c>
    </row>
    <row r="294">
      <c r="A294" t="str">
        <v>MR1403018</v>
      </c>
      <c r="B294" t="str">
        <v>WYPALL AZUL</v>
      </c>
      <c r="C294" t="str">
        <v>Utensilios de cocina</v>
      </c>
      <c r="D294" t="str">
        <v>PAQUETE</v>
      </c>
      <c r="E294">
        <v>5</v>
      </c>
      <c r="F294" t="str">
        <v/>
      </c>
      <c r="G294">
        <f>F294-E294</f>
      </c>
      <c r="H294" t="str">
        <v/>
      </c>
    </row>
    <row r="295">
      <c r="A295" t="str">
        <v>MR0302057</v>
      </c>
      <c r="B295" t="str">
        <v>WYPALL VERDE</v>
      </c>
      <c r="C295" t="str">
        <v>Utensilios de cocina</v>
      </c>
      <c r="D295" t="str">
        <v>PAQUETE</v>
      </c>
      <c r="E295">
        <v>4</v>
      </c>
      <c r="F295" t="str">
        <v/>
      </c>
      <c r="G295">
        <f>F295-E295</f>
      </c>
      <c r="H295" t="str">
        <v/>
      </c>
    </row>
  </sheetData>
  <ignoredErrors>
    <ignoredError numberStoredAsText="1" sqref="A1:H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Conteo Físico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